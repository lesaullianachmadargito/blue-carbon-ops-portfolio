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ortfolio\blue-carbon-ops-portfolio\assets\files\"/>
    </mc:Choice>
  </mc:AlternateContent>
  <xr:revisionPtr revIDLastSave="0" documentId="13_ncr:1_{93DB7347-5F4C-47C2-A5D8-B9D048FF2A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ad_Me" sheetId="1" r:id="rId1"/>
    <sheet name="Dashboard" sheetId="2" r:id="rId2"/>
    <sheet name="Settings" sheetId="3" r:id="rId3"/>
    <sheet name="Planting_Log" sheetId="4" r:id="rId4"/>
    <sheet name="Monitoring" sheetId="5" r:id="rId5"/>
    <sheet name="Plot_Status" sheetId="6" r:id="rId6"/>
    <sheet name="Site_Summary" sheetId="7" r:id="rId7"/>
    <sheet name="Field_Day_SOP" sheetId="8" r:id="rId8"/>
    <sheet name="Risk_Register" sheetId="9" r:id="rId9"/>
  </sheets>
  <definedNames>
    <definedName name="HMax">Settings!$C$10</definedName>
    <definedName name="HMin">Settings!$C$9</definedName>
    <definedName name="OverdueDays">Settings!$C$11</definedName>
    <definedName name="ReportDate">Settings!$C$4</definedName>
    <definedName name="Target">Settings!$C$8</definedName>
    <definedName name="Trigger">Settings!$C$5</definedName>
    <definedName name="TriggerMonth">Settings!$C$6</definedName>
    <definedName name="WatchBand">Settings!$C$7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9" l="1"/>
  <c r="G16" i="9" s="1"/>
  <c r="F15" i="9"/>
  <c r="G15" i="9" s="1"/>
  <c r="F14" i="9"/>
  <c r="G14" i="9" s="1"/>
  <c r="F13" i="9"/>
  <c r="G13" i="9" s="1"/>
  <c r="F12" i="9"/>
  <c r="G12" i="9" s="1"/>
  <c r="F11" i="9"/>
  <c r="G11" i="9" s="1"/>
  <c r="F10" i="9"/>
  <c r="G10" i="9" s="1"/>
  <c r="F9" i="9"/>
  <c r="G9" i="9" s="1"/>
  <c r="F8" i="9"/>
  <c r="G8" i="9" s="1"/>
  <c r="F7" i="9"/>
  <c r="G7" i="9" s="1"/>
  <c r="F6" i="9"/>
  <c r="G6" i="9" s="1"/>
  <c r="F5" i="9"/>
  <c r="G5" i="9" s="1"/>
  <c r="F21" i="7"/>
  <c r="F20" i="7"/>
  <c r="F19" i="7"/>
  <c r="F18" i="7"/>
  <c r="F17" i="7"/>
  <c r="F16" i="7"/>
  <c r="A16" i="7"/>
  <c r="F15" i="7"/>
  <c r="A15" i="7"/>
  <c r="F14" i="7"/>
  <c r="A14" i="7"/>
  <c r="C7" i="7"/>
  <c r="A7" i="7"/>
  <c r="A6" i="7"/>
  <c r="C5" i="7"/>
  <c r="A5" i="7"/>
  <c r="B5" i="7" s="1"/>
  <c r="C16" i="6"/>
  <c r="A16" i="6"/>
  <c r="B16" i="6" s="1"/>
  <c r="A15" i="6"/>
  <c r="B15" i="6" s="1"/>
  <c r="A14" i="6"/>
  <c r="S14" i="6" s="1"/>
  <c r="D13" i="6"/>
  <c r="C13" i="6"/>
  <c r="A13" i="6"/>
  <c r="S13" i="6" s="1"/>
  <c r="A12" i="6"/>
  <c r="A11" i="6"/>
  <c r="A10" i="6"/>
  <c r="S10" i="6" s="1"/>
  <c r="S9" i="6"/>
  <c r="C9" i="6"/>
  <c r="B9" i="6"/>
  <c r="A9" i="6"/>
  <c r="B8" i="6"/>
  <c r="A8" i="6"/>
  <c r="S8" i="6" s="1"/>
  <c r="S7" i="6"/>
  <c r="C7" i="6"/>
  <c r="A7" i="6"/>
  <c r="B7" i="6" s="1"/>
  <c r="A6" i="6"/>
  <c r="A5" i="6"/>
  <c r="D5" i="6" s="1"/>
  <c r="Z84" i="5"/>
  <c r="Y84" i="5"/>
  <c r="X84" i="5"/>
  <c r="V84" i="5"/>
  <c r="W84" i="5" s="1"/>
  <c r="R84" i="5"/>
  <c r="Q84" i="5"/>
  <c r="U84" i="5" s="1"/>
  <c r="N84" i="5"/>
  <c r="O84" i="5" s="1"/>
  <c r="P84" i="5" s="1"/>
  <c r="M84" i="5"/>
  <c r="Z83" i="5"/>
  <c r="Y83" i="5"/>
  <c r="X83" i="5"/>
  <c r="V83" i="5"/>
  <c r="W83" i="5" s="1"/>
  <c r="R83" i="5"/>
  <c r="Q83" i="5"/>
  <c r="U83" i="5" s="1"/>
  <c r="N83" i="5"/>
  <c r="O83" i="5" s="1"/>
  <c r="P83" i="5" s="1"/>
  <c r="M83" i="5"/>
  <c r="Z82" i="5"/>
  <c r="Y82" i="5"/>
  <c r="X82" i="5"/>
  <c r="W82" i="5"/>
  <c r="V82" i="5"/>
  <c r="R82" i="5"/>
  <c r="Q82" i="5"/>
  <c r="N82" i="5"/>
  <c r="O82" i="5" s="1"/>
  <c r="P82" i="5" s="1"/>
  <c r="M82" i="5"/>
  <c r="Z81" i="5"/>
  <c r="Y81" i="5"/>
  <c r="X81" i="5"/>
  <c r="W81" i="5"/>
  <c r="V81" i="5"/>
  <c r="U81" i="5"/>
  <c r="S81" i="5"/>
  <c r="T81" i="5" s="1"/>
  <c r="R81" i="5"/>
  <c r="Q81" i="5"/>
  <c r="N81" i="5"/>
  <c r="O81" i="5" s="1"/>
  <c r="P81" i="5" s="1"/>
  <c r="M81" i="5"/>
  <c r="Z80" i="5"/>
  <c r="Y80" i="5"/>
  <c r="X80" i="5"/>
  <c r="V80" i="5"/>
  <c r="W80" i="5" s="1"/>
  <c r="R80" i="5"/>
  <c r="Q80" i="5"/>
  <c r="U80" i="5" s="1"/>
  <c r="N80" i="5"/>
  <c r="O80" i="5" s="1"/>
  <c r="P80" i="5" s="1"/>
  <c r="M80" i="5"/>
  <c r="Z79" i="5"/>
  <c r="Y79" i="5"/>
  <c r="X79" i="5"/>
  <c r="V79" i="5"/>
  <c r="W79" i="5" s="1"/>
  <c r="S79" i="5"/>
  <c r="T79" i="5" s="1"/>
  <c r="R79" i="5"/>
  <c r="Q79" i="5"/>
  <c r="U79" i="5" s="1"/>
  <c r="N79" i="5"/>
  <c r="O79" i="5" s="1"/>
  <c r="P79" i="5" s="1"/>
  <c r="M79" i="5"/>
  <c r="Z78" i="5"/>
  <c r="Y78" i="5"/>
  <c r="X78" i="5"/>
  <c r="W78" i="5"/>
  <c r="V78" i="5"/>
  <c r="R78" i="5"/>
  <c r="Q78" i="5"/>
  <c r="N78" i="5"/>
  <c r="O78" i="5" s="1"/>
  <c r="P78" i="5" s="1"/>
  <c r="M78" i="5"/>
  <c r="Z77" i="5"/>
  <c r="Y77" i="5"/>
  <c r="X77" i="5"/>
  <c r="V77" i="5"/>
  <c r="W77" i="5" s="1"/>
  <c r="R77" i="5"/>
  <c r="Q77" i="5"/>
  <c r="U77" i="5" s="1"/>
  <c r="O77" i="5"/>
  <c r="P77" i="5" s="1"/>
  <c r="N77" i="5"/>
  <c r="M77" i="5"/>
  <c r="Z76" i="5"/>
  <c r="Y76" i="5"/>
  <c r="X76" i="5"/>
  <c r="V76" i="5"/>
  <c r="W76" i="5" s="1"/>
  <c r="U76" i="5"/>
  <c r="S76" i="5"/>
  <c r="T76" i="5" s="1"/>
  <c r="R76" i="5"/>
  <c r="Q76" i="5"/>
  <c r="P76" i="5"/>
  <c r="N76" i="5"/>
  <c r="O76" i="5" s="1"/>
  <c r="M76" i="5"/>
  <c r="Z75" i="5"/>
  <c r="Y75" i="5"/>
  <c r="X75" i="5"/>
  <c r="V75" i="5"/>
  <c r="W75" i="5" s="1"/>
  <c r="R75" i="5"/>
  <c r="Q75" i="5"/>
  <c r="U75" i="5" s="1"/>
  <c r="N75" i="5"/>
  <c r="O75" i="5" s="1"/>
  <c r="P75" i="5" s="1"/>
  <c r="M75" i="5"/>
  <c r="Z74" i="5"/>
  <c r="Y74" i="5"/>
  <c r="X74" i="5"/>
  <c r="V74" i="5"/>
  <c r="W74" i="5" s="1"/>
  <c r="R74" i="5"/>
  <c r="Q74" i="5"/>
  <c r="O74" i="5"/>
  <c r="P74" i="5" s="1"/>
  <c r="N74" i="5"/>
  <c r="M74" i="5"/>
  <c r="Z73" i="5"/>
  <c r="Y73" i="5"/>
  <c r="X73" i="5"/>
  <c r="W73" i="5"/>
  <c r="V73" i="5"/>
  <c r="R73" i="5"/>
  <c r="Q73" i="5"/>
  <c r="U73" i="5" s="1"/>
  <c r="N73" i="5"/>
  <c r="O73" i="5" s="1"/>
  <c r="P73" i="5" s="1"/>
  <c r="M73" i="5"/>
  <c r="Z72" i="5"/>
  <c r="Y72" i="5"/>
  <c r="X72" i="5"/>
  <c r="V72" i="5"/>
  <c r="W72" i="5" s="1"/>
  <c r="R72" i="5"/>
  <c r="Q72" i="5"/>
  <c r="S72" i="5" s="1"/>
  <c r="T72" i="5" s="1"/>
  <c r="N72" i="5"/>
  <c r="O72" i="5" s="1"/>
  <c r="P72" i="5" s="1"/>
  <c r="M72" i="5"/>
  <c r="Z71" i="5"/>
  <c r="Y71" i="5"/>
  <c r="X71" i="5"/>
  <c r="V71" i="5"/>
  <c r="W71" i="5" s="1"/>
  <c r="R71" i="5"/>
  <c r="Q71" i="5"/>
  <c r="U71" i="5" s="1"/>
  <c r="N71" i="5"/>
  <c r="O71" i="5" s="1"/>
  <c r="P71" i="5" s="1"/>
  <c r="M71" i="5"/>
  <c r="Z70" i="5"/>
  <c r="Y70" i="5"/>
  <c r="X70" i="5"/>
  <c r="V70" i="5"/>
  <c r="W70" i="5" s="1"/>
  <c r="R70" i="5"/>
  <c r="Q70" i="5"/>
  <c r="N70" i="5"/>
  <c r="O70" i="5" s="1"/>
  <c r="P70" i="5" s="1"/>
  <c r="M70" i="5"/>
  <c r="Z69" i="5"/>
  <c r="Y69" i="5"/>
  <c r="X69" i="5"/>
  <c r="V69" i="5"/>
  <c r="W69" i="5" s="1"/>
  <c r="S69" i="5"/>
  <c r="T69" i="5" s="1"/>
  <c r="R69" i="5"/>
  <c r="Q69" i="5"/>
  <c r="U69" i="5" s="1"/>
  <c r="N69" i="5"/>
  <c r="O69" i="5" s="1"/>
  <c r="P69" i="5" s="1"/>
  <c r="M69" i="5"/>
  <c r="Z68" i="5"/>
  <c r="Y68" i="5"/>
  <c r="X68" i="5"/>
  <c r="V68" i="5"/>
  <c r="W68" i="5" s="1"/>
  <c r="U68" i="5"/>
  <c r="S68" i="5"/>
  <c r="T68" i="5" s="1"/>
  <c r="R68" i="5"/>
  <c r="Q68" i="5"/>
  <c r="N68" i="5"/>
  <c r="O68" i="5" s="1"/>
  <c r="P68" i="5" s="1"/>
  <c r="M68" i="5"/>
  <c r="Z67" i="5"/>
  <c r="Y67" i="5"/>
  <c r="X67" i="5"/>
  <c r="V67" i="5"/>
  <c r="W67" i="5" s="1"/>
  <c r="S67" i="5"/>
  <c r="T67" i="5" s="1"/>
  <c r="R67" i="5"/>
  <c r="Q67" i="5"/>
  <c r="U67" i="5" s="1"/>
  <c r="N67" i="5"/>
  <c r="O67" i="5" s="1"/>
  <c r="P67" i="5" s="1"/>
  <c r="M67" i="5"/>
  <c r="Z66" i="5"/>
  <c r="Y66" i="5"/>
  <c r="X66" i="5"/>
  <c r="W66" i="5"/>
  <c r="V66" i="5"/>
  <c r="R66" i="5"/>
  <c r="Q66" i="5"/>
  <c r="O66" i="5"/>
  <c r="P66" i="5" s="1"/>
  <c r="N66" i="5"/>
  <c r="M66" i="5"/>
  <c r="Z65" i="5"/>
  <c r="Y65" i="5"/>
  <c r="X65" i="5"/>
  <c r="W65" i="5"/>
  <c r="V65" i="5"/>
  <c r="U65" i="5"/>
  <c r="S65" i="5"/>
  <c r="T65" i="5" s="1"/>
  <c r="R65" i="5"/>
  <c r="Q65" i="5"/>
  <c r="N65" i="5"/>
  <c r="O65" i="5" s="1"/>
  <c r="P65" i="5" s="1"/>
  <c r="M65" i="5"/>
  <c r="Z64" i="5"/>
  <c r="Y64" i="5"/>
  <c r="X64" i="5"/>
  <c r="V64" i="5"/>
  <c r="W64" i="5" s="1"/>
  <c r="U64" i="5"/>
  <c r="R64" i="5"/>
  <c r="Q64" i="5"/>
  <c r="S64" i="5" s="1"/>
  <c r="T64" i="5" s="1"/>
  <c r="P64" i="5"/>
  <c r="N64" i="5"/>
  <c r="O64" i="5" s="1"/>
  <c r="M64" i="5"/>
  <c r="Z63" i="5"/>
  <c r="Y63" i="5"/>
  <c r="X63" i="5"/>
  <c r="V63" i="5"/>
  <c r="W63" i="5" s="1"/>
  <c r="R63" i="5"/>
  <c r="Q63" i="5"/>
  <c r="U63" i="5" s="1"/>
  <c r="N63" i="5"/>
  <c r="O63" i="5" s="1"/>
  <c r="P63" i="5" s="1"/>
  <c r="M63" i="5"/>
  <c r="Z62" i="5"/>
  <c r="Y62" i="5"/>
  <c r="X62" i="5"/>
  <c r="V62" i="5"/>
  <c r="W62" i="5" s="1"/>
  <c r="R62" i="5"/>
  <c r="Q62" i="5"/>
  <c r="N62" i="5"/>
  <c r="O62" i="5" s="1"/>
  <c r="P62" i="5" s="1"/>
  <c r="M62" i="5"/>
  <c r="Z61" i="5"/>
  <c r="Y61" i="5"/>
  <c r="X61" i="5"/>
  <c r="W61" i="5"/>
  <c r="V61" i="5"/>
  <c r="S61" i="5"/>
  <c r="T61" i="5" s="1"/>
  <c r="R61" i="5"/>
  <c r="Q61" i="5"/>
  <c r="U61" i="5" s="1"/>
  <c r="O61" i="5"/>
  <c r="P61" i="5" s="1"/>
  <c r="N61" i="5"/>
  <c r="M61" i="5"/>
  <c r="Z60" i="5"/>
  <c r="Y60" i="5"/>
  <c r="X60" i="5"/>
  <c r="V60" i="5"/>
  <c r="W60" i="5" s="1"/>
  <c r="S60" i="5"/>
  <c r="T60" i="5" s="1"/>
  <c r="R60" i="5"/>
  <c r="Q60" i="5"/>
  <c r="U60" i="5" s="1"/>
  <c r="N60" i="5"/>
  <c r="O60" i="5" s="1"/>
  <c r="P60" i="5" s="1"/>
  <c r="M60" i="5"/>
  <c r="Z59" i="5"/>
  <c r="Y59" i="5"/>
  <c r="X59" i="5"/>
  <c r="V59" i="5"/>
  <c r="W59" i="5" s="1"/>
  <c r="R59" i="5"/>
  <c r="Q59" i="5"/>
  <c r="U59" i="5" s="1"/>
  <c r="N59" i="5"/>
  <c r="O59" i="5" s="1"/>
  <c r="P59" i="5" s="1"/>
  <c r="M59" i="5"/>
  <c r="Z58" i="5"/>
  <c r="Y58" i="5"/>
  <c r="X58" i="5"/>
  <c r="V58" i="5"/>
  <c r="W58" i="5" s="1"/>
  <c r="R58" i="5"/>
  <c r="Q58" i="5"/>
  <c r="O58" i="5"/>
  <c r="P58" i="5" s="1"/>
  <c r="N58" i="5"/>
  <c r="M58" i="5"/>
  <c r="Z57" i="5"/>
  <c r="Y57" i="5"/>
  <c r="X57" i="5"/>
  <c r="W57" i="5"/>
  <c r="V57" i="5"/>
  <c r="U57" i="5"/>
  <c r="R57" i="5"/>
  <c r="Q57" i="5"/>
  <c r="S57" i="5" s="1"/>
  <c r="T57" i="5" s="1"/>
  <c r="N57" i="5"/>
  <c r="O57" i="5" s="1"/>
  <c r="P57" i="5" s="1"/>
  <c r="M57" i="5"/>
  <c r="Z56" i="5"/>
  <c r="Y56" i="5"/>
  <c r="X56" i="5"/>
  <c r="V56" i="5"/>
  <c r="W56" i="5" s="1"/>
  <c r="R56" i="5"/>
  <c r="Q56" i="5"/>
  <c r="S56" i="5" s="1"/>
  <c r="T56" i="5" s="1"/>
  <c r="N56" i="5"/>
  <c r="O56" i="5" s="1"/>
  <c r="P56" i="5" s="1"/>
  <c r="M56" i="5"/>
  <c r="Z55" i="5"/>
  <c r="Y55" i="5"/>
  <c r="X55" i="5"/>
  <c r="V55" i="5"/>
  <c r="W55" i="5" s="1"/>
  <c r="S55" i="5"/>
  <c r="T55" i="5" s="1"/>
  <c r="R55" i="5"/>
  <c r="Q55" i="5"/>
  <c r="U55" i="5" s="1"/>
  <c r="N55" i="5"/>
  <c r="O55" i="5" s="1"/>
  <c r="P55" i="5" s="1"/>
  <c r="M55" i="5"/>
  <c r="Z54" i="5"/>
  <c r="Y54" i="5"/>
  <c r="X54" i="5"/>
  <c r="V54" i="5"/>
  <c r="W54" i="5" s="1"/>
  <c r="R54" i="5"/>
  <c r="Q54" i="5"/>
  <c r="S54" i="5" s="1"/>
  <c r="T54" i="5" s="1"/>
  <c r="N54" i="5"/>
  <c r="O54" i="5" s="1"/>
  <c r="P54" i="5" s="1"/>
  <c r="M54" i="5"/>
  <c r="Z53" i="5"/>
  <c r="Y53" i="5"/>
  <c r="X53" i="5"/>
  <c r="W53" i="5"/>
  <c r="V53" i="5"/>
  <c r="U53" i="5"/>
  <c r="S53" i="5"/>
  <c r="T53" i="5" s="1"/>
  <c r="R53" i="5"/>
  <c r="Q53" i="5"/>
  <c r="N53" i="5"/>
  <c r="O53" i="5" s="1"/>
  <c r="P53" i="5" s="1"/>
  <c r="M53" i="5"/>
  <c r="Z52" i="5"/>
  <c r="Y52" i="5"/>
  <c r="X52" i="5"/>
  <c r="V52" i="5"/>
  <c r="W52" i="5" s="1"/>
  <c r="U52" i="5"/>
  <c r="R52" i="5"/>
  <c r="Q52" i="5"/>
  <c r="S52" i="5" s="1"/>
  <c r="T52" i="5" s="1"/>
  <c r="N52" i="5"/>
  <c r="O52" i="5" s="1"/>
  <c r="P52" i="5" s="1"/>
  <c r="M52" i="5"/>
  <c r="Z51" i="5"/>
  <c r="Y51" i="5"/>
  <c r="X51" i="5"/>
  <c r="W51" i="5"/>
  <c r="V51" i="5"/>
  <c r="S51" i="5"/>
  <c r="T51" i="5" s="1"/>
  <c r="R51" i="5"/>
  <c r="Q51" i="5"/>
  <c r="U51" i="5" s="1"/>
  <c r="N51" i="5"/>
  <c r="O51" i="5" s="1"/>
  <c r="P51" i="5" s="1"/>
  <c r="M51" i="5"/>
  <c r="Z50" i="5"/>
  <c r="Y50" i="5"/>
  <c r="X50" i="5"/>
  <c r="W50" i="5"/>
  <c r="V50" i="5"/>
  <c r="U50" i="5"/>
  <c r="R50" i="5"/>
  <c r="Q50" i="5"/>
  <c r="S50" i="5" s="1"/>
  <c r="T50" i="5" s="1"/>
  <c r="O50" i="5"/>
  <c r="P50" i="5" s="1"/>
  <c r="N50" i="5"/>
  <c r="M50" i="5"/>
  <c r="Z49" i="5"/>
  <c r="Y49" i="5"/>
  <c r="X49" i="5"/>
  <c r="W49" i="5"/>
  <c r="V49" i="5"/>
  <c r="U49" i="5"/>
  <c r="R49" i="5"/>
  <c r="Q49" i="5"/>
  <c r="S49" i="5" s="1"/>
  <c r="T49" i="5" s="1"/>
  <c r="N49" i="5"/>
  <c r="O49" i="5" s="1"/>
  <c r="P49" i="5" s="1"/>
  <c r="M49" i="5"/>
  <c r="Z48" i="5"/>
  <c r="Y48" i="5"/>
  <c r="X48" i="5"/>
  <c r="V48" i="5"/>
  <c r="W48" i="5" s="1"/>
  <c r="R48" i="5"/>
  <c r="Q48" i="5"/>
  <c r="S48" i="5" s="1"/>
  <c r="T48" i="5" s="1"/>
  <c r="N48" i="5"/>
  <c r="O48" i="5" s="1"/>
  <c r="P48" i="5" s="1"/>
  <c r="M48" i="5"/>
  <c r="Z47" i="5"/>
  <c r="Y47" i="5"/>
  <c r="X47" i="5"/>
  <c r="V47" i="5"/>
  <c r="W47" i="5" s="1"/>
  <c r="S47" i="5"/>
  <c r="T47" i="5" s="1"/>
  <c r="R47" i="5"/>
  <c r="Q47" i="5"/>
  <c r="U47" i="5" s="1"/>
  <c r="N47" i="5"/>
  <c r="O47" i="5" s="1"/>
  <c r="P47" i="5" s="1"/>
  <c r="M47" i="5"/>
  <c r="Z46" i="5"/>
  <c r="Y46" i="5"/>
  <c r="X46" i="5"/>
  <c r="V46" i="5"/>
  <c r="W46" i="5" s="1"/>
  <c r="R46" i="5"/>
  <c r="Q46" i="5"/>
  <c r="S46" i="5" s="1"/>
  <c r="T46" i="5" s="1"/>
  <c r="N46" i="5"/>
  <c r="O46" i="5" s="1"/>
  <c r="P46" i="5" s="1"/>
  <c r="M46" i="5"/>
  <c r="Z45" i="5"/>
  <c r="Y45" i="5"/>
  <c r="X45" i="5"/>
  <c r="W45" i="5"/>
  <c r="V45" i="5"/>
  <c r="U45" i="5"/>
  <c r="S45" i="5"/>
  <c r="T45" i="5" s="1"/>
  <c r="R45" i="5"/>
  <c r="Q45" i="5"/>
  <c r="N45" i="5"/>
  <c r="O45" i="5" s="1"/>
  <c r="P45" i="5" s="1"/>
  <c r="M45" i="5"/>
  <c r="V44" i="5"/>
  <c r="W44" i="5" s="1"/>
  <c r="R44" i="5"/>
  <c r="Q44" i="5"/>
  <c r="U44" i="5" s="1"/>
  <c r="N44" i="5"/>
  <c r="O44" i="5" s="1"/>
  <c r="P44" i="5" s="1"/>
  <c r="M44" i="5"/>
  <c r="V43" i="5"/>
  <c r="X43" i="5" s="1"/>
  <c r="R43" i="5"/>
  <c r="Q43" i="5"/>
  <c r="U43" i="5" s="1"/>
  <c r="N43" i="5"/>
  <c r="O43" i="5" s="1"/>
  <c r="P43" i="5" s="1"/>
  <c r="M43" i="5"/>
  <c r="W42" i="5"/>
  <c r="V42" i="5"/>
  <c r="X42" i="5" s="1"/>
  <c r="R42" i="5"/>
  <c r="Q42" i="5"/>
  <c r="U42" i="5" s="1"/>
  <c r="O42" i="5"/>
  <c r="P42" i="5" s="1"/>
  <c r="N42" i="5"/>
  <c r="M42" i="5"/>
  <c r="W41" i="5"/>
  <c r="V41" i="5"/>
  <c r="X41" i="5" s="1"/>
  <c r="U41" i="5"/>
  <c r="R41" i="5"/>
  <c r="Q41" i="5"/>
  <c r="S41" i="5" s="1"/>
  <c r="T41" i="5" s="1"/>
  <c r="N41" i="5"/>
  <c r="O41" i="5" s="1"/>
  <c r="P41" i="5" s="1"/>
  <c r="M41" i="5"/>
  <c r="X40" i="5"/>
  <c r="V40" i="5"/>
  <c r="W40" i="5" s="1"/>
  <c r="R40" i="5"/>
  <c r="Q40" i="5"/>
  <c r="U40" i="5" s="1"/>
  <c r="N40" i="5"/>
  <c r="O40" i="5" s="1"/>
  <c r="P40" i="5" s="1"/>
  <c r="M40" i="5"/>
  <c r="V39" i="5"/>
  <c r="X39" i="5" s="1"/>
  <c r="R39" i="5"/>
  <c r="Q39" i="5"/>
  <c r="N39" i="5"/>
  <c r="O39" i="5" s="1"/>
  <c r="P39" i="5" s="1"/>
  <c r="M39" i="5"/>
  <c r="V38" i="5"/>
  <c r="X38" i="5" s="1"/>
  <c r="R38" i="5"/>
  <c r="Q38" i="5"/>
  <c r="N38" i="5"/>
  <c r="O38" i="5" s="1"/>
  <c r="P38" i="5" s="1"/>
  <c r="M38" i="5"/>
  <c r="V37" i="5"/>
  <c r="X37" i="5" s="1"/>
  <c r="U37" i="5"/>
  <c r="R37" i="5"/>
  <c r="S37" i="5" s="1"/>
  <c r="T37" i="5" s="1"/>
  <c r="Q37" i="5"/>
  <c r="N37" i="5"/>
  <c r="O37" i="5" s="1"/>
  <c r="P37" i="5" s="1"/>
  <c r="M37" i="5"/>
  <c r="X36" i="5"/>
  <c r="V36" i="5"/>
  <c r="W36" i="5" s="1"/>
  <c r="U36" i="5"/>
  <c r="R36" i="5"/>
  <c r="Q36" i="5"/>
  <c r="N36" i="5"/>
  <c r="O36" i="5" s="1"/>
  <c r="P36" i="5" s="1"/>
  <c r="M36" i="5"/>
  <c r="X35" i="5"/>
  <c r="W35" i="5"/>
  <c r="V35" i="5"/>
  <c r="R35" i="5"/>
  <c r="S35" i="5" s="1"/>
  <c r="T35" i="5" s="1"/>
  <c r="Q35" i="5"/>
  <c r="U35" i="5" s="1"/>
  <c r="N35" i="5"/>
  <c r="O35" i="5" s="1"/>
  <c r="P35" i="5" s="1"/>
  <c r="M35" i="5"/>
  <c r="V34" i="5"/>
  <c r="X34" i="5" s="1"/>
  <c r="R34" i="5"/>
  <c r="Q34" i="5"/>
  <c r="O34" i="5"/>
  <c r="P34" i="5" s="1"/>
  <c r="N34" i="5"/>
  <c r="M34" i="5"/>
  <c r="V33" i="5"/>
  <c r="X33" i="5" s="1"/>
  <c r="U33" i="5"/>
  <c r="R33" i="5"/>
  <c r="S33" i="5" s="1"/>
  <c r="T33" i="5" s="1"/>
  <c r="Q33" i="5"/>
  <c r="O33" i="5"/>
  <c r="P33" i="5" s="1"/>
  <c r="N33" i="5"/>
  <c r="M33" i="5"/>
  <c r="V32" i="5"/>
  <c r="W32" i="5" s="1"/>
  <c r="U32" i="5"/>
  <c r="R32" i="5"/>
  <c r="Q32" i="5"/>
  <c r="N32" i="5"/>
  <c r="O32" i="5" s="1"/>
  <c r="P32" i="5" s="1"/>
  <c r="M32" i="5"/>
  <c r="V31" i="5"/>
  <c r="X31" i="5" s="1"/>
  <c r="R31" i="5"/>
  <c r="Q31" i="5"/>
  <c r="U31" i="5" s="1"/>
  <c r="N31" i="5"/>
  <c r="M31" i="5"/>
  <c r="V30" i="5"/>
  <c r="W30" i="5" s="1"/>
  <c r="R30" i="5"/>
  <c r="Q30" i="5"/>
  <c r="N30" i="5"/>
  <c r="O30" i="5" s="1"/>
  <c r="P30" i="5" s="1"/>
  <c r="M30" i="5"/>
  <c r="V29" i="5"/>
  <c r="X29" i="5" s="1"/>
  <c r="U29" i="5"/>
  <c r="R29" i="5"/>
  <c r="Q29" i="5"/>
  <c r="N29" i="5"/>
  <c r="O29" i="5" s="1"/>
  <c r="P29" i="5" s="1"/>
  <c r="M29" i="5"/>
  <c r="V28" i="5"/>
  <c r="W28" i="5" s="1"/>
  <c r="U28" i="5"/>
  <c r="R28" i="5"/>
  <c r="Q28" i="5"/>
  <c r="N28" i="5"/>
  <c r="O28" i="5" s="1"/>
  <c r="P28" i="5" s="1"/>
  <c r="M28" i="5"/>
  <c r="V27" i="5"/>
  <c r="X27" i="5" s="1"/>
  <c r="S27" i="5"/>
  <c r="T27" i="5" s="1"/>
  <c r="R27" i="5"/>
  <c r="Q27" i="5"/>
  <c r="U27" i="5" s="1"/>
  <c r="N27" i="5"/>
  <c r="M27" i="5"/>
  <c r="X26" i="5"/>
  <c r="V26" i="5"/>
  <c r="W26" i="5" s="1"/>
  <c r="R26" i="5"/>
  <c r="Q26" i="5"/>
  <c r="N26" i="5"/>
  <c r="O26" i="5" s="1"/>
  <c r="P26" i="5" s="1"/>
  <c r="M26" i="5"/>
  <c r="V25" i="5"/>
  <c r="X25" i="5" s="1"/>
  <c r="U25" i="5"/>
  <c r="R25" i="5"/>
  <c r="S25" i="5" s="1"/>
  <c r="T25" i="5" s="1"/>
  <c r="Q25" i="5"/>
  <c r="N25" i="5"/>
  <c r="O25" i="5" s="1"/>
  <c r="P25" i="5" s="1"/>
  <c r="M25" i="5"/>
  <c r="V24" i="5"/>
  <c r="W24" i="5" s="1"/>
  <c r="U24" i="5"/>
  <c r="R24" i="5"/>
  <c r="Q24" i="5"/>
  <c r="N24" i="5"/>
  <c r="O24" i="5" s="1"/>
  <c r="P24" i="5" s="1"/>
  <c r="M24" i="5"/>
  <c r="V23" i="5"/>
  <c r="X23" i="5" s="1"/>
  <c r="R23" i="5"/>
  <c r="Q23" i="5"/>
  <c r="U23" i="5" s="1"/>
  <c r="N23" i="5"/>
  <c r="M23" i="5"/>
  <c r="V22" i="5"/>
  <c r="W22" i="5" s="1"/>
  <c r="R22" i="5"/>
  <c r="Q22" i="5"/>
  <c r="N22" i="5"/>
  <c r="O22" i="5" s="1"/>
  <c r="P22" i="5" s="1"/>
  <c r="M22" i="5"/>
  <c r="V21" i="5"/>
  <c r="X21" i="5" s="1"/>
  <c r="U21" i="5"/>
  <c r="R21" i="5"/>
  <c r="Q21" i="5"/>
  <c r="N21" i="5"/>
  <c r="O21" i="5" s="1"/>
  <c r="P21" i="5" s="1"/>
  <c r="M21" i="5"/>
  <c r="V20" i="5"/>
  <c r="W20" i="5" s="1"/>
  <c r="U20" i="5"/>
  <c r="R20" i="5"/>
  <c r="Q20" i="5"/>
  <c r="S20" i="5" s="1"/>
  <c r="T20" i="5" s="1"/>
  <c r="N20" i="5"/>
  <c r="O20" i="5" s="1"/>
  <c r="P20" i="5" s="1"/>
  <c r="M20" i="5"/>
  <c r="V19" i="5"/>
  <c r="R19" i="5"/>
  <c r="Q19" i="5"/>
  <c r="U19" i="5" s="1"/>
  <c r="N19" i="5"/>
  <c r="M19" i="5"/>
  <c r="V18" i="5"/>
  <c r="W18" i="5" s="1"/>
  <c r="R18" i="5"/>
  <c r="Q18" i="5"/>
  <c r="N18" i="5"/>
  <c r="O18" i="5" s="1"/>
  <c r="P18" i="5" s="1"/>
  <c r="M18" i="5"/>
  <c r="V17" i="5"/>
  <c r="X17" i="5" s="1"/>
  <c r="R17" i="5"/>
  <c r="Q17" i="5"/>
  <c r="U17" i="5" s="1"/>
  <c r="O17" i="5"/>
  <c r="P17" i="5" s="1"/>
  <c r="N17" i="5"/>
  <c r="M17" i="5"/>
  <c r="V16" i="5"/>
  <c r="W16" i="5" s="1"/>
  <c r="T16" i="5"/>
  <c r="R16" i="5"/>
  <c r="Q16" i="5"/>
  <c r="S16" i="5" s="1"/>
  <c r="N16" i="5"/>
  <c r="O16" i="5" s="1"/>
  <c r="P16" i="5" s="1"/>
  <c r="M16" i="5"/>
  <c r="V15" i="5"/>
  <c r="S15" i="5"/>
  <c r="T15" i="5" s="1"/>
  <c r="R15" i="5"/>
  <c r="Q15" i="5"/>
  <c r="U15" i="5" s="1"/>
  <c r="N15" i="5"/>
  <c r="M15" i="5"/>
  <c r="V14" i="5"/>
  <c r="W14" i="5" s="1"/>
  <c r="R14" i="5"/>
  <c r="Q14" i="5"/>
  <c r="N14" i="5"/>
  <c r="O14" i="5" s="1"/>
  <c r="P14" i="5" s="1"/>
  <c r="M14" i="5"/>
  <c r="V13" i="5"/>
  <c r="X13" i="5" s="1"/>
  <c r="U13" i="5"/>
  <c r="R13" i="5"/>
  <c r="S13" i="5" s="1"/>
  <c r="T13" i="5" s="1"/>
  <c r="Q13" i="5"/>
  <c r="N13" i="5"/>
  <c r="O13" i="5" s="1"/>
  <c r="P13" i="5" s="1"/>
  <c r="M13" i="5"/>
  <c r="V12" i="5"/>
  <c r="W12" i="5" s="1"/>
  <c r="U12" i="5"/>
  <c r="R12" i="5"/>
  <c r="Q12" i="5"/>
  <c r="P12" i="5"/>
  <c r="N12" i="5"/>
  <c r="O12" i="5" s="1"/>
  <c r="M12" i="5"/>
  <c r="V11" i="5"/>
  <c r="R11" i="5"/>
  <c r="S11" i="5" s="1"/>
  <c r="T11" i="5" s="1"/>
  <c r="Q11" i="5"/>
  <c r="U11" i="5" s="1"/>
  <c r="N11" i="5"/>
  <c r="O11" i="5" s="1"/>
  <c r="P11" i="5" s="1"/>
  <c r="M11" i="5"/>
  <c r="X10" i="5"/>
  <c r="V10" i="5"/>
  <c r="W10" i="5" s="1"/>
  <c r="R10" i="5"/>
  <c r="Q10" i="5"/>
  <c r="N10" i="5"/>
  <c r="O10" i="5" s="1"/>
  <c r="P10" i="5" s="1"/>
  <c r="M10" i="5"/>
  <c r="V9" i="5"/>
  <c r="W9" i="5" s="1"/>
  <c r="R9" i="5"/>
  <c r="Q9" i="5"/>
  <c r="U9" i="5" s="1"/>
  <c r="N9" i="5"/>
  <c r="O9" i="5" s="1"/>
  <c r="P9" i="5" s="1"/>
  <c r="M9" i="5"/>
  <c r="V8" i="5"/>
  <c r="W8" i="5" s="1"/>
  <c r="U8" i="5"/>
  <c r="R8" i="5"/>
  <c r="Q8" i="5"/>
  <c r="N8" i="5"/>
  <c r="O8" i="5" s="1"/>
  <c r="P8" i="5" s="1"/>
  <c r="M8" i="5"/>
  <c r="V7" i="5"/>
  <c r="R7" i="5"/>
  <c r="Q7" i="5"/>
  <c r="S7" i="5" s="1"/>
  <c r="T7" i="5" s="1"/>
  <c r="N7" i="5"/>
  <c r="O7" i="5" s="1"/>
  <c r="P7" i="5" s="1"/>
  <c r="M7" i="5"/>
  <c r="V6" i="5"/>
  <c r="W6" i="5" s="1"/>
  <c r="R6" i="5"/>
  <c r="Q6" i="5"/>
  <c r="N6" i="5"/>
  <c r="O6" i="5" s="1"/>
  <c r="P6" i="5" s="1"/>
  <c r="M6" i="5"/>
  <c r="V5" i="5"/>
  <c r="X5" i="5" s="1"/>
  <c r="R5" i="5"/>
  <c r="S5" i="5" s="1"/>
  <c r="T5" i="5" s="1"/>
  <c r="Q5" i="5"/>
  <c r="U5" i="5" s="1"/>
  <c r="N5" i="5"/>
  <c r="M5" i="5"/>
  <c r="B3" i="2"/>
  <c r="S8" i="5" l="1"/>
  <c r="T8" i="5" s="1"/>
  <c r="S9" i="5"/>
  <c r="T9" i="5" s="1"/>
  <c r="S12" i="5"/>
  <c r="T12" i="5" s="1"/>
  <c r="X16" i="5"/>
  <c r="S43" i="5"/>
  <c r="T43" i="5" s="1"/>
  <c r="U72" i="5"/>
  <c r="Y16" i="5"/>
  <c r="Z16" i="5" s="1"/>
  <c r="C8" i="6"/>
  <c r="B10" i="6"/>
  <c r="D16" i="6"/>
  <c r="W13" i="5"/>
  <c r="X14" i="5"/>
  <c r="S19" i="5"/>
  <c r="T19" i="5" s="1"/>
  <c r="S23" i="5"/>
  <c r="T23" i="5" s="1"/>
  <c r="S31" i="5"/>
  <c r="T31" i="5" s="1"/>
  <c r="X32" i="5"/>
  <c r="W33" i="5"/>
  <c r="W34" i="5"/>
  <c r="S38" i="5"/>
  <c r="T38" i="5" s="1"/>
  <c r="U46" i="5"/>
  <c r="U54" i="5"/>
  <c r="S63" i="5"/>
  <c r="T63" i="5" s="1"/>
  <c r="S73" i="5"/>
  <c r="T73" i="5" s="1"/>
  <c r="S80" i="5"/>
  <c r="T80" i="5" s="1"/>
  <c r="D8" i="6"/>
  <c r="C10" i="6"/>
  <c r="S16" i="6"/>
  <c r="S77" i="5"/>
  <c r="T77" i="5" s="1"/>
  <c r="S84" i="5"/>
  <c r="T84" i="5" s="1"/>
  <c r="D10" i="6"/>
  <c r="U7" i="5"/>
  <c r="U38" i="5"/>
  <c r="Y41" i="5"/>
  <c r="Z41" i="5" s="1"/>
  <c r="C14" i="6"/>
  <c r="X6" i="5"/>
  <c r="U16" i="5"/>
  <c r="S17" i="5"/>
  <c r="T17" i="5" s="1"/>
  <c r="X18" i="5"/>
  <c r="S21" i="5"/>
  <c r="T21" i="5" s="1"/>
  <c r="X22" i="5"/>
  <c r="S24" i="5"/>
  <c r="T24" i="5" s="1"/>
  <c r="S28" i="5"/>
  <c r="T28" i="5" s="1"/>
  <c r="S29" i="5"/>
  <c r="T29" i="5" s="1"/>
  <c r="X30" i="5"/>
  <c r="S32" i="5"/>
  <c r="T32" i="5" s="1"/>
  <c r="S36" i="5"/>
  <c r="T36" i="5" s="1"/>
  <c r="W38" i="5"/>
  <c r="U48" i="5"/>
  <c r="U56" i="5"/>
  <c r="S59" i="5"/>
  <c r="T59" i="5" s="1"/>
  <c r="S6" i="5"/>
  <c r="U6" i="5"/>
  <c r="X9" i="5"/>
  <c r="W5" i="5"/>
  <c r="Y5" i="5" s="1"/>
  <c r="Z5" i="5" s="1"/>
  <c r="Y9" i="5"/>
  <c r="Z9" i="5" s="1"/>
  <c r="S18" i="5"/>
  <c r="U18" i="5"/>
  <c r="O19" i="5"/>
  <c r="P19" i="5" s="1"/>
  <c r="W21" i="5"/>
  <c r="Y21" i="5" s="1"/>
  <c r="Z21" i="5" s="1"/>
  <c r="W29" i="5"/>
  <c r="Y32" i="5"/>
  <c r="Z32" i="5" s="1"/>
  <c r="Y33" i="5"/>
  <c r="Z33" i="5" s="1"/>
  <c r="X8" i="5"/>
  <c r="Y8" i="5" s="1"/>
  <c r="Z8" i="5" s="1"/>
  <c r="X11" i="5"/>
  <c r="W11" i="5"/>
  <c r="Y17" i="5"/>
  <c r="Z17" i="5" s="1"/>
  <c r="W17" i="5"/>
  <c r="W25" i="5"/>
  <c r="Y25" i="5" s="1"/>
  <c r="Z25" i="5" s="1"/>
  <c r="Y35" i="5"/>
  <c r="Z35" i="5" s="1"/>
  <c r="U39" i="5"/>
  <c r="S39" i="5"/>
  <c r="T39" i="5" s="1"/>
  <c r="X15" i="5"/>
  <c r="W15" i="5"/>
  <c r="Y20" i="5"/>
  <c r="Z20" i="5" s="1"/>
  <c r="X20" i="5"/>
  <c r="S14" i="5"/>
  <c r="U14" i="5"/>
  <c r="O15" i="5"/>
  <c r="P15" i="5" s="1"/>
  <c r="O5" i="5"/>
  <c r="P5" i="5" s="1"/>
  <c r="Y11" i="5"/>
  <c r="Z11" i="5" s="1"/>
  <c r="Y12" i="5"/>
  <c r="Z12" i="5" s="1"/>
  <c r="X12" i="5"/>
  <c r="X7" i="5"/>
  <c r="Y7" i="5" s="1"/>
  <c r="Z7" i="5" s="1"/>
  <c r="W7" i="5"/>
  <c r="S10" i="5"/>
  <c r="U10" i="5"/>
  <c r="Y13" i="5"/>
  <c r="Z13" i="5" s="1"/>
  <c r="S30" i="5"/>
  <c r="U30" i="5"/>
  <c r="S34" i="5"/>
  <c r="U34" i="5"/>
  <c r="X19" i="5"/>
  <c r="Y19" i="5" s="1"/>
  <c r="Z19" i="5" s="1"/>
  <c r="W19" i="5"/>
  <c r="S22" i="5"/>
  <c r="U22" i="5"/>
  <c r="S26" i="5"/>
  <c r="U26" i="5"/>
  <c r="X44" i="5"/>
  <c r="U82" i="5"/>
  <c r="S82" i="5"/>
  <c r="T82" i="5" s="1"/>
  <c r="C6" i="6"/>
  <c r="S6" i="6"/>
  <c r="O23" i="5"/>
  <c r="P23" i="5" s="1"/>
  <c r="W23" i="5"/>
  <c r="Y23" i="5" s="1"/>
  <c r="Z23" i="5" s="1"/>
  <c r="O27" i="5"/>
  <c r="P27" i="5" s="1"/>
  <c r="W27" i="5"/>
  <c r="Y27" i="5" s="1"/>
  <c r="Z27" i="5" s="1"/>
  <c r="O31" i="5"/>
  <c r="P31" i="5" s="1"/>
  <c r="W31" i="5"/>
  <c r="W37" i="5"/>
  <c r="Y37" i="5" s="1"/>
  <c r="Z37" i="5" s="1"/>
  <c r="W39" i="5"/>
  <c r="S40" i="5"/>
  <c r="T40" i="5" s="1"/>
  <c r="U70" i="5"/>
  <c r="S70" i="5"/>
  <c r="T70" i="5" s="1"/>
  <c r="X24" i="5"/>
  <c r="Y24" i="5" s="1"/>
  <c r="Z24" i="5" s="1"/>
  <c r="X28" i="5"/>
  <c r="Y28" i="5" s="1"/>
  <c r="Z28" i="5" s="1"/>
  <c r="J9" i="7"/>
  <c r="U58" i="5"/>
  <c r="S58" i="5"/>
  <c r="T58" i="5" s="1"/>
  <c r="S75" i="5"/>
  <c r="T75" i="5" s="1"/>
  <c r="D14" i="6"/>
  <c r="B14" i="6"/>
  <c r="U78" i="5"/>
  <c r="S78" i="5"/>
  <c r="T78" i="5" s="1"/>
  <c r="S11" i="6"/>
  <c r="C11" i="6"/>
  <c r="S12" i="6"/>
  <c r="C12" i="6"/>
  <c r="B12" i="6"/>
  <c r="D12" i="6"/>
  <c r="U66" i="5"/>
  <c r="S66" i="5"/>
  <c r="T66" i="5" s="1"/>
  <c r="S83" i="5"/>
  <c r="T83" i="5" s="1"/>
  <c r="B11" i="6"/>
  <c r="S44" i="5"/>
  <c r="T44" i="5" s="1"/>
  <c r="S71" i="5"/>
  <c r="T71" i="5" s="1"/>
  <c r="B5" i="6"/>
  <c r="D11" i="6"/>
  <c r="S42" i="5"/>
  <c r="T42" i="5" s="1"/>
  <c r="W43" i="5"/>
  <c r="Y43" i="5" s="1"/>
  <c r="Z43" i="5" s="1"/>
  <c r="U74" i="5"/>
  <c r="S74" i="5"/>
  <c r="T74" i="5" s="1"/>
  <c r="C5" i="6"/>
  <c r="S5" i="6"/>
  <c r="U62" i="5"/>
  <c r="S62" i="5"/>
  <c r="T62" i="5" s="1"/>
  <c r="D6" i="6"/>
  <c r="B6" i="6"/>
  <c r="D5" i="7"/>
  <c r="D7" i="7"/>
  <c r="C15" i="6"/>
  <c r="S15" i="6"/>
  <c r="C6" i="7"/>
  <c r="D7" i="6"/>
  <c r="B13" i="6"/>
  <c r="D15" i="6"/>
  <c r="D6" i="7"/>
  <c r="B7" i="7"/>
  <c r="B8" i="7" s="1"/>
  <c r="D9" i="6"/>
  <c r="B6" i="7"/>
  <c r="Y36" i="5" l="1"/>
  <c r="Z36" i="5" s="1"/>
  <c r="O14" i="6" s="1"/>
  <c r="Y15" i="5"/>
  <c r="Z15" i="5" s="1"/>
  <c r="Y38" i="5"/>
  <c r="Z38" i="5" s="1"/>
  <c r="Y31" i="5"/>
  <c r="Z31" i="5" s="1"/>
  <c r="Y29" i="5"/>
  <c r="Z29" i="5" s="1"/>
  <c r="D14" i="7"/>
  <c r="C8" i="7"/>
  <c r="T26" i="5"/>
  <c r="Y26" i="5"/>
  <c r="Z26" i="5" s="1"/>
  <c r="Y42" i="5"/>
  <c r="Z42" i="5" s="1"/>
  <c r="Y39" i="5"/>
  <c r="Z39" i="5" s="1"/>
  <c r="T22" i="5"/>
  <c r="Y22" i="5"/>
  <c r="Z22" i="5" s="1"/>
  <c r="D15" i="7" s="1"/>
  <c r="T10" i="5"/>
  <c r="Y10" i="5"/>
  <c r="Z10" i="5" s="1"/>
  <c r="O6" i="6" s="1"/>
  <c r="Y18" i="5"/>
  <c r="Z18" i="5" s="1"/>
  <c r="O8" i="6" s="1"/>
  <c r="T18" i="5"/>
  <c r="T34" i="5"/>
  <c r="Y34" i="5"/>
  <c r="Z34" i="5" s="1"/>
  <c r="O13" i="6" s="1"/>
  <c r="D8" i="7"/>
  <c r="C6" i="2" s="1"/>
  <c r="Y40" i="5"/>
  <c r="Z40" i="5" s="1"/>
  <c r="O10" i="6"/>
  <c r="T30" i="5"/>
  <c r="Y30" i="5"/>
  <c r="Z30" i="5" s="1"/>
  <c r="O12" i="6" s="1"/>
  <c r="T14" i="5"/>
  <c r="Y14" i="5"/>
  <c r="Z14" i="5" s="1"/>
  <c r="O7" i="6" s="1"/>
  <c r="Y44" i="5"/>
  <c r="Z44" i="5" s="1"/>
  <c r="O9" i="6"/>
  <c r="Y6" i="5"/>
  <c r="Z6" i="5" s="1"/>
  <c r="E7" i="6" s="1"/>
  <c r="T6" i="5"/>
  <c r="R7" i="6" l="1"/>
  <c r="G7" i="6"/>
  <c r="J7" i="6" s="1"/>
  <c r="K7" i="6"/>
  <c r="H7" i="6"/>
  <c r="F7" i="6"/>
  <c r="N7" i="6"/>
  <c r="E14" i="6"/>
  <c r="E15" i="6"/>
  <c r="A6" i="2"/>
  <c r="D16" i="7"/>
  <c r="J7" i="7"/>
  <c r="G9" i="2"/>
  <c r="C16" i="7"/>
  <c r="O15" i="6"/>
  <c r="C15" i="7"/>
  <c r="O16" i="6"/>
  <c r="B16" i="7"/>
  <c r="J6" i="7"/>
  <c r="E6" i="6"/>
  <c r="O5" i="6"/>
  <c r="C14" i="7"/>
  <c r="E13" i="6"/>
  <c r="E12" i="6"/>
  <c r="E11" i="6"/>
  <c r="E16" i="6"/>
  <c r="J5" i="7"/>
  <c r="E10" i="6"/>
  <c r="E5" i="6"/>
  <c r="E8" i="6"/>
  <c r="B15" i="7"/>
  <c r="O11" i="6"/>
  <c r="E9" i="6"/>
  <c r="B14" i="7"/>
  <c r="Q7" i="6" l="1"/>
  <c r="H10" i="6"/>
  <c r="Q10" i="6" s="1"/>
  <c r="N10" i="6"/>
  <c r="F10" i="6"/>
  <c r="K10" i="6"/>
  <c r="R10" i="6"/>
  <c r="G10" i="6"/>
  <c r="H5" i="6"/>
  <c r="G5" i="6"/>
  <c r="J5" i="6" s="1"/>
  <c r="R5" i="6"/>
  <c r="N5" i="6"/>
  <c r="K5" i="6"/>
  <c r="L5" i="6" s="1"/>
  <c r="I5" i="6"/>
  <c r="F5" i="6"/>
  <c r="R6" i="6"/>
  <c r="G6" i="6"/>
  <c r="I6" i="6" s="1"/>
  <c r="N6" i="6"/>
  <c r="K6" i="6"/>
  <c r="H6" i="6"/>
  <c r="F6" i="6"/>
  <c r="J8" i="7"/>
  <c r="G16" i="6"/>
  <c r="J16" i="6" s="1"/>
  <c r="N16" i="6"/>
  <c r="F16" i="6"/>
  <c r="R16" i="6"/>
  <c r="H16" i="6"/>
  <c r="K16" i="6"/>
  <c r="K9" i="6"/>
  <c r="N9" i="6"/>
  <c r="F9" i="6"/>
  <c r="R9" i="6"/>
  <c r="H9" i="6"/>
  <c r="Q9" i="6" s="1"/>
  <c r="G9" i="6"/>
  <c r="I9" i="6" s="1"/>
  <c r="L9" i="6" s="1"/>
  <c r="N11" i="6"/>
  <c r="F11" i="6"/>
  <c r="K11" i="6"/>
  <c r="H11" i="6"/>
  <c r="G11" i="6"/>
  <c r="J11" i="6" s="1"/>
  <c r="R11" i="6"/>
  <c r="R15" i="6"/>
  <c r="G15" i="6"/>
  <c r="I15" i="6" s="1"/>
  <c r="L15" i="6" s="1"/>
  <c r="K15" i="6"/>
  <c r="N15" i="6"/>
  <c r="H15" i="6"/>
  <c r="F15" i="6"/>
  <c r="I7" i="6"/>
  <c r="L7" i="6" s="1"/>
  <c r="H13" i="6"/>
  <c r="G13" i="6"/>
  <c r="J13" i="6" s="1"/>
  <c r="R13" i="6"/>
  <c r="Q13" i="6"/>
  <c r="K13" i="6"/>
  <c r="F13" i="6"/>
  <c r="N13" i="6"/>
  <c r="R14" i="6"/>
  <c r="G14" i="6"/>
  <c r="N14" i="6"/>
  <c r="F14" i="6"/>
  <c r="K14" i="6"/>
  <c r="H14" i="6"/>
  <c r="K12" i="6"/>
  <c r="R12" i="6"/>
  <c r="J12" i="6"/>
  <c r="H12" i="6"/>
  <c r="N12" i="6"/>
  <c r="G12" i="6"/>
  <c r="I12" i="6" s="1"/>
  <c r="F12" i="6"/>
  <c r="Q12" i="6"/>
  <c r="G8" i="6"/>
  <c r="Q8" i="6" s="1"/>
  <c r="N8" i="6"/>
  <c r="F8" i="6"/>
  <c r="R8" i="6"/>
  <c r="K8" i="6"/>
  <c r="H8" i="6"/>
  <c r="L13" i="6" l="1"/>
  <c r="J15" i="6"/>
  <c r="J10" i="6"/>
  <c r="J9" i="6"/>
  <c r="Q16" i="6"/>
  <c r="I16" i="6"/>
  <c r="L16" i="6" s="1"/>
  <c r="P16" i="6" s="1"/>
  <c r="Q6" i="6"/>
  <c r="I6" i="7"/>
  <c r="L12" i="6"/>
  <c r="M12" i="6" s="1"/>
  <c r="I13" i="6"/>
  <c r="Q15" i="6"/>
  <c r="Q11" i="6"/>
  <c r="Q5" i="6"/>
  <c r="Q14" i="6"/>
  <c r="M15" i="6"/>
  <c r="P15" i="6"/>
  <c r="M9" i="6"/>
  <c r="P9" i="6"/>
  <c r="M5" i="6"/>
  <c r="P5" i="6"/>
  <c r="M16" i="6"/>
  <c r="M7" i="6"/>
  <c r="P7" i="6"/>
  <c r="L6" i="6"/>
  <c r="J6" i="6"/>
  <c r="J8" i="6"/>
  <c r="G21" i="7"/>
  <c r="H18" i="7"/>
  <c r="G17" i="7"/>
  <c r="H14" i="7"/>
  <c r="G19" i="7"/>
  <c r="G15" i="7"/>
  <c r="G18" i="7"/>
  <c r="H15" i="7"/>
  <c r="G16" i="7"/>
  <c r="G14" i="7"/>
  <c r="H16" i="7"/>
  <c r="H21" i="7"/>
  <c r="H20" i="7"/>
  <c r="H17" i="7"/>
  <c r="G20" i="7"/>
  <c r="H19" i="7"/>
  <c r="M13" i="6"/>
  <c r="P13" i="6"/>
  <c r="E5" i="7"/>
  <c r="I7" i="7"/>
  <c r="I11" i="6"/>
  <c r="L11" i="6" s="1"/>
  <c r="E6" i="7"/>
  <c r="F6" i="7" s="1"/>
  <c r="I10" i="6"/>
  <c r="L10" i="6" s="1"/>
  <c r="E7" i="7"/>
  <c r="F7" i="7" s="1"/>
  <c r="I14" i="6"/>
  <c r="L14" i="6" s="1"/>
  <c r="I8" i="6"/>
  <c r="L8" i="6" s="1"/>
  <c r="J14" i="6"/>
  <c r="I5" i="7"/>
  <c r="I8" i="7" s="1"/>
  <c r="E9" i="2" s="1"/>
  <c r="P12" i="6" l="1"/>
  <c r="M14" i="6"/>
  <c r="P14" i="6"/>
  <c r="G7" i="7"/>
  <c r="P10" i="6"/>
  <c r="M10" i="6"/>
  <c r="G6" i="7"/>
  <c r="M8" i="6"/>
  <c r="H5" i="7" s="1"/>
  <c r="G5" i="7"/>
  <c r="M6" i="6"/>
  <c r="P6" i="6"/>
  <c r="E8" i="7"/>
  <c r="F5" i="7"/>
  <c r="H7" i="7"/>
  <c r="M11" i="6"/>
  <c r="P11" i="6" s="1"/>
  <c r="P8" i="6" l="1"/>
  <c r="E6" i="2"/>
  <c r="F8" i="7"/>
  <c r="G6" i="2" s="1"/>
  <c r="H6" i="7"/>
  <c r="H8" i="7" s="1"/>
  <c r="C9" i="2" s="1"/>
  <c r="G8" i="7"/>
  <c r="A9" i="2" s="1"/>
</calcChain>
</file>

<file path=xl/sharedStrings.xml><?xml version="1.0" encoding="utf-8"?>
<sst xmlns="http://schemas.openxmlformats.org/spreadsheetml/2006/main" count="681" uniqueCount="413">
  <si>
    <t>Planting and Monitoring Data Kit (illustrative data)</t>
  </si>
  <si>
    <t>Built by Les' Aullian Achmad Argito for the CarbonEthics Operations &amp; Science Intern application, October 2026.</t>
  </si>
  <si>
    <t>Read this first</t>
  </si>
  <si>
    <t>Every site, plot, count and date in this file is invented to show how the sheets work. Nothing here describes a real CarbonEthics site, partner or client.</t>
  </si>
  <si>
    <t>What it is for</t>
  </si>
  <si>
    <t>Keeping planting and survival data clean enough to report: one row per plot planted, one row per plot visit, automatic checks, and a status line per plot that tells the team what to do next.</t>
  </si>
  <si>
    <t>How to use it</t>
  </si>
  <si>
    <t>1) Set the report date and thresholds in Settings. 2) Add plots to Planting_Log. 3) Add one Monitoring row per plot visit (yellow cells only; grey cells are formulas). 4) Read the QA_Flags column and correct flagged rows at the source. 5) Read Plot_Status and Dashboard for actions. 6) Copy grey formula rows down when you add rows.</t>
  </si>
  <si>
    <t>Data rule 1</t>
  </si>
  <si>
    <t>Counts are cumulative since planting: Alive + Dead + Missing must equal seedlings planted plus seedlings replanted on earlier visits.</t>
  </si>
  <si>
    <t>Data rule 2</t>
  </si>
  <si>
    <t>Replanting is recorded on the visit where it happens, after that visit's count; it enters the expected total from the next visit.</t>
  </si>
  <si>
    <t>Data rule 3</t>
  </si>
  <si>
    <t>Plot_Status uses only rows that pass every check. A flagged row is corrected, never deleted, and the plot shows its last clean census until then.</t>
  </si>
  <si>
    <t>Data rule 4</t>
  </si>
  <si>
    <t>Stocking = living trees / seedlings in the original design (drives the replanting trigger). Survival = living trees / all seedlings ever planted on the plot (shows what replanting cost).</t>
  </si>
  <si>
    <t>QA check 1: Unknown plot</t>
  </si>
  <si>
    <t>Plot ID not found in Planting_Log (typos such as B3 for B03).</t>
  </si>
  <si>
    <t>QA check 2: Visit before planting</t>
  </si>
  <si>
    <t>Visit date earlier than the planting date (often a mistyped year).</t>
  </si>
  <si>
    <t>QA check 3: Count mismatch</t>
  </si>
  <si>
    <t>Alive + Dead + Missing does not equal the expected total.</t>
  </si>
  <si>
    <t>QA check 4: Alive rose without replanting</t>
  </si>
  <si>
    <t>More living trees than at the previous visit plus anything replanted since.</t>
  </si>
  <si>
    <t>QA check 5: Duplicate visit</t>
  </si>
  <si>
    <t>Same plot and date entered twice.</t>
  </si>
  <si>
    <t>QA check 6: Height out of range</t>
  </si>
  <si>
    <t>Mean height outside the plausible range in Settings (a slipped decimal point).</t>
  </si>
  <si>
    <t>QA check 7: No observer</t>
  </si>
  <si>
    <t>Nobody named as responsible for the count.</t>
  </si>
  <si>
    <t>QA check 8: Loss without cause</t>
  </si>
  <si>
    <t>Dead or missing seedlings recorded with no main cause.</t>
  </si>
  <si>
    <t>Dropdowns</t>
  </si>
  <si>
    <t>Lists in Settings stop most typos at entry; the checks catch what arrives by import, copy-paste or photos of paper sheets.</t>
  </si>
  <si>
    <t>Google Sheets</t>
  </si>
  <si>
    <t>Uses COUNTIFS, SUMIFS, AVERAGEIFS, SUMPRODUCT and INDEX/MATCH only, which work in Google Sheets and Excel.</t>
  </si>
  <si>
    <t>Dashboard</t>
  </si>
  <si>
    <t>Illustrative data. Figures update from Planting_Log and Monitoring; status uses clean rows only.</t>
  </si>
  <si>
    <t>Report date</t>
  </si>
  <si>
    <t>Seedlings planted (design)</t>
  </si>
  <si>
    <t>Replanted to date</t>
  </si>
  <si>
    <t>Alive at last clean visit</t>
  </si>
  <si>
    <t>Stocking vs design</t>
  </si>
  <si>
    <t>Plots to replant</t>
  </si>
  <si>
    <t>Seedlings to order</t>
  </si>
  <si>
    <t>Plots with census overdue</t>
  </si>
  <si>
    <t>Flagged rows to correct</t>
  </si>
  <si>
    <t>Settings</t>
  </si>
  <si>
    <t>Change these values; every formula reads them by name.</t>
  </si>
  <si>
    <t>Name</t>
  </si>
  <si>
    <t>Setting</t>
  </si>
  <si>
    <t>Value</t>
  </si>
  <si>
    <t>Sites</t>
  </si>
  <si>
    <t>Species</t>
  </si>
  <si>
    <t>Causes</t>
  </si>
  <si>
    <t>Observers</t>
  </si>
  <si>
    <t>Visit types</t>
  </si>
  <si>
    <t>ReportDate</t>
  </si>
  <si>
    <t>Site A - seaward fringe</t>
  </si>
  <si>
    <t>Rhizophora mucronata</t>
  </si>
  <si>
    <t>Wave/scour</t>
  </si>
  <si>
    <t>FS-1 (field staff)</t>
  </si>
  <si>
    <t>Census</t>
  </si>
  <si>
    <t>Trigger</t>
  </si>
  <si>
    <t>Replant when stocking is below</t>
  </si>
  <si>
    <t>Site B - pond dyke</t>
  </si>
  <si>
    <t>Rhizophora apiculata</t>
  </si>
  <si>
    <t>Barnacles</t>
  </si>
  <si>
    <t>FS-2 (field staff)</t>
  </si>
  <si>
    <t>Replanting</t>
  </si>
  <si>
    <t>TriggerMonth</t>
  </si>
  <si>
    <t>Apply the trigger from census month</t>
  </si>
  <si>
    <t>Site C - sheltered lagoon</t>
  </si>
  <si>
    <t>Avicennia marina</t>
  </si>
  <si>
    <t>Sediment burial</t>
  </si>
  <si>
    <t>PL-1 (partner lead)</t>
  </si>
  <si>
    <t>Follow-up</t>
  </si>
  <si>
    <t>WatchBand</t>
  </si>
  <si>
    <t>Watch band above the trigger</t>
  </si>
  <si>
    <t>Sonneratia alba</t>
  </si>
  <si>
    <t>Crab damage</t>
  </si>
  <si>
    <t>PL-2 (partner lead)</t>
  </si>
  <si>
    <t>Target</t>
  </si>
  <si>
    <t>Replant up to this stocking</t>
  </si>
  <si>
    <t>Grazing</t>
  </si>
  <si>
    <t>PL-3 (partner lead)</t>
  </si>
  <si>
    <t>HMin</t>
  </si>
  <si>
    <t>Plausible mean height, minimum (cm)</t>
  </si>
  <si>
    <t>Debris/plastic</t>
  </si>
  <si>
    <t>HMax</t>
  </si>
  <si>
    <t>Plausible mean height, maximum (cm)</t>
  </si>
  <si>
    <t>Human disturbance</t>
  </si>
  <si>
    <t>OverdueDays</t>
  </si>
  <si>
    <t>Census overdue after (days)</t>
  </si>
  <si>
    <t>Unknown</t>
  </si>
  <si>
    <t>Planting log</t>
  </si>
  <si>
    <t>One row per plot planted. Yellow = input. Illustrative data.</t>
  </si>
  <si>
    <t>Plot ID</t>
  </si>
  <si>
    <t>Site</t>
  </si>
  <si>
    <t>Zone</t>
  </si>
  <si>
    <t>Planted on</t>
  </si>
  <si>
    <t>Seedling source</t>
  </si>
  <si>
    <t>Seedlings planted</t>
  </si>
  <si>
    <t>Spacing (m)</t>
  </si>
  <si>
    <t>Partner group</t>
  </si>
  <si>
    <t>GPS waypoint ID</t>
  </si>
  <si>
    <t>Photo point ID</t>
  </si>
  <si>
    <t>Notes</t>
  </si>
  <si>
    <t>A01</t>
  </si>
  <si>
    <t>Open fringe</t>
  </si>
  <si>
    <t>Partner nursery</t>
  </si>
  <si>
    <t>Partner group 1</t>
  </si>
  <si>
    <t>WP-A01</t>
  </si>
  <si>
    <t>PP-A01</t>
  </si>
  <si>
    <t>A02</t>
  </si>
  <si>
    <t>WP-A02</t>
  </si>
  <si>
    <t>PP-A02</t>
  </si>
  <si>
    <t>A03</t>
  </si>
  <si>
    <t>Behind wave breaker</t>
  </si>
  <si>
    <t>WP-A03</t>
  </si>
  <si>
    <t>PP-A03</t>
  </si>
  <si>
    <t>A04</t>
  </si>
  <si>
    <t>WP-A04</t>
  </si>
  <si>
    <t>PP-A04</t>
  </si>
  <si>
    <t>B01</t>
  </si>
  <si>
    <t>Dyke crest</t>
  </si>
  <si>
    <t>Partner group 2</t>
  </si>
  <si>
    <t>WP-B01</t>
  </si>
  <si>
    <t>PP-B01</t>
  </si>
  <si>
    <t>B02</t>
  </si>
  <si>
    <t>WP-B02</t>
  </si>
  <si>
    <t>PP-B02</t>
  </si>
  <si>
    <t>B03</t>
  </si>
  <si>
    <t>Pond floor</t>
  </si>
  <si>
    <t>WP-B03</t>
  </si>
  <si>
    <t>PP-B03</t>
  </si>
  <si>
    <t>B04</t>
  </si>
  <si>
    <t>WP-B04</t>
  </si>
  <si>
    <t>PP-B04</t>
  </si>
  <si>
    <t>C01</t>
  </si>
  <si>
    <t>Lagoon edge</t>
  </si>
  <si>
    <t>Wild propagules, partner nursery</t>
  </si>
  <si>
    <t>Partner group 3</t>
  </si>
  <si>
    <t>WP-C01</t>
  </si>
  <si>
    <t>PP-C01</t>
  </si>
  <si>
    <t>C02</t>
  </si>
  <si>
    <t>WP-C02</t>
  </si>
  <si>
    <t>PP-C02</t>
  </si>
  <si>
    <t>C03</t>
  </si>
  <si>
    <t>Inner flat</t>
  </si>
  <si>
    <t>WP-C03</t>
  </si>
  <si>
    <t>PP-C03</t>
  </si>
  <si>
    <t>C04</t>
  </si>
  <si>
    <t>WP-C04</t>
  </si>
  <si>
    <t>PP-C04</t>
  </si>
  <si>
    <t>Monitoring census</t>
  </si>
  <si>
    <t>One row per plot visit. Yellow = input, grey = formula. Illustrative data with eight deliberate entry errors for the checks to catch.</t>
  </si>
  <si>
    <t>Visit ID</t>
  </si>
  <si>
    <t>Visit date</t>
  </si>
  <si>
    <t>Visit type</t>
  </si>
  <si>
    <t>Observer</t>
  </si>
  <si>
    <t>Alive</t>
  </si>
  <si>
    <t>Dead</t>
  </si>
  <si>
    <t>Missing</t>
  </si>
  <si>
    <t>Main cause of loss</t>
  </si>
  <si>
    <t>Mean height (cm)</t>
  </si>
  <si>
    <t>Replanted this visit</t>
  </si>
  <si>
    <t>Months since planting</t>
  </si>
  <si>
    <t>Census month</t>
  </si>
  <si>
    <t>Replanted before this visit</t>
  </si>
  <si>
    <t>Expected total</t>
  </si>
  <si>
    <t>Survival (all planted)</t>
  </si>
  <si>
    <t>Stocking (vs design)</t>
  </si>
  <si>
    <t>Previous visit</t>
  </si>
  <si>
    <t>Alive at previous visit</t>
  </si>
  <si>
    <t>Replanted since previous</t>
  </si>
  <si>
    <t>QA flags</t>
  </si>
  <si>
    <t>QA issues</t>
  </si>
  <si>
    <t>V001</t>
  </si>
  <si>
    <t>V002</t>
  </si>
  <si>
    <t>V003</t>
  </si>
  <si>
    <t>Scour on the seaward edge</t>
  </si>
  <si>
    <t>V004</t>
  </si>
  <si>
    <t>Replanted with stakes</t>
  </si>
  <si>
    <t>V005</t>
  </si>
  <si>
    <t>V006</t>
  </si>
  <si>
    <t>V007</t>
  </si>
  <si>
    <t>Heavy barnacle load</t>
  </si>
  <si>
    <t>V008</t>
  </si>
  <si>
    <t>Stems cleaned before replanting</t>
  </si>
  <si>
    <t>V009</t>
  </si>
  <si>
    <t>Replanted seedlings mostly alive</t>
  </si>
  <si>
    <t>V010</t>
  </si>
  <si>
    <t>V011</t>
  </si>
  <si>
    <t>Tally sheet re-added on the boat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</si>
  <si>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</si>
  <si>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</si>
  <si>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</si>
  <si>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</si>
  <si>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</si>
  <si>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</si>
  <si>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</si>
  <si>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</si>
  <si>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</si>
  <si>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</si>
  <si>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</si>
  <si>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</si>
  <si>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B3</t>
  </si>
  <si>
    <t>V024</t>
  </si>
  <si>
    <t>Silt over the lower rows</t>
  </si>
  <si>
    <t>V025</t>
  </si>
  <si>
    <t>V026</t>
  </si>
  <si>
    <t>V027</t>
  </si>
  <si>
    <t>V028</t>
  </si>
  <si>
    <t>V029</t>
  </si>
  <si>
    <t>V030</t>
  </si>
  <si>
    <t>Plastic caught on seedlings</t>
  </si>
  <si>
    <t>V031</t>
  </si>
  <si>
    <t>Goats seen near the edge</t>
  </si>
  <si>
    <t>V032</t>
  </si>
  <si>
    <t>V033</t>
  </si>
  <si>
    <t>V034</t>
  </si>
  <si>
    <t>V035</t>
  </si>
  <si>
    <t>V036</t>
  </si>
  <si>
    <t>Entered from photo of the sheet</t>
  </si>
  <si>
    <t>V037</t>
  </si>
  <si>
    <t>V038</t>
  </si>
  <si>
    <t>V039</t>
  </si>
  <si>
    <t>V040</t>
  </si>
  <si>
    <t>Plot status</t>
  </si>
  <si>
    <t>One row per plot, from the last census that passed every check. Read Next action first.</t>
  </si>
  <si>
    <t>Last clean visit</t>
  </si>
  <si>
    <t>Census month at last visit</t>
  </si>
  <si>
    <t>Alive at last visit</t>
  </si>
  <si>
    <t>Replanted before last visit</t>
  </si>
  <si>
    <t>Replanted at last visit</t>
  </si>
  <si>
    <t>Status</t>
  </si>
  <si>
    <t>Seedlings to replant</t>
  </si>
  <si>
    <t>Days since last visit</t>
  </si>
  <si>
    <t>Open QA rows</t>
  </si>
  <si>
    <t>Next action</t>
  </si>
  <si>
    <t>Seedlings lost</t>
  </si>
  <si>
    <t>Main cause at last visit</t>
  </si>
  <si>
    <t>Site summary</t>
  </si>
  <si>
    <t>Totals per site, stocking by census month, and losses by main cause.</t>
  </si>
  <si>
    <t>Plots</t>
  </si>
  <si>
    <t>Flagged rows open</t>
  </si>
  <si>
    <t>All sites</t>
  </si>
  <si>
    <t>Rows with an unknown plot ID</t>
  </si>
  <si>
    <t>Stocking by census month (clean census rows only)</t>
  </si>
  <si>
    <t>Seedlings lost by main cause (cause recorded at each plot's last clean visit)</t>
  </si>
  <si>
    <t>Month 1</t>
  </si>
  <si>
    <t>Month 3</t>
  </si>
  <si>
    <t>Month 6</t>
  </si>
  <si>
    <t>Main cause</t>
  </si>
  <si>
    <t>Planting day: standard operating procedure (draft)</t>
  </si>
  <si>
    <t>A draft built from public restoration guidance and my own field work; to be adapted to CarbonEthics' own SOPs.</t>
  </si>
  <si>
    <t>No.</t>
  </si>
  <si>
    <t>Phase</t>
  </si>
  <si>
    <t>Step</t>
  </si>
  <si>
    <t>What good looks like</t>
  </si>
  <si>
    <t>Owner</t>
  </si>
  <si>
    <t>Record kept</t>
  </si>
  <si>
    <t>T-14 to T-7: plan</t>
  </si>
  <si>
    <t>Confirm the plots to be planted, their boundaries and waypoint IDs</t>
  </si>
  <si>
    <t>Every plot has an ID in Planting_Log before the day</t>
  </si>
  <si>
    <t>Ops intern</t>
  </si>
  <si>
    <t>Planting_Log rows</t>
  </si>
  <si>
    <t>Choose the date and start time from the tide table</t>
  </si>
  <si>
    <t>Planting on a falling-to-low tide; crew off the flat before the flood returns</t>
  </si>
  <si>
    <t>Field lead</t>
  </si>
  <si>
    <t>Tide window in the day plan</t>
  </si>
  <si>
    <t>Check that each zone is plantable</t>
  </si>
  <si>
    <t>Elevation and flooding compared with nearby natural mangroves; species matched to the zone</t>
  </si>
  <si>
    <t>Science team</t>
  </si>
  <si>
    <t>Site note with photos</t>
  </si>
  <si>
    <t>Agree roles, numbers and compensation with the partner group in writing</t>
  </si>
  <si>
    <t>Who plants, who maintains, how much and when, in Bahasa Indonesia</t>
  </si>
  <si>
    <t>Ops lead + partner lead</t>
  </si>
  <si>
    <t>Signed agreement or written confirmation on file</t>
  </si>
  <si>
    <t>Order seedlings by zone</t>
  </si>
  <si>
    <t>Planned count plus 10% spare; minimum height and leaf count stated in the order</t>
  </si>
  <si>
    <t>Seedling order</t>
  </si>
  <si>
    <t>Permits and notifications</t>
  </si>
  <si>
    <t>Village office or area authority informed as required; client briefing pack for corporate plantings</t>
  </si>
  <si>
    <t>Ops lead</t>
  </si>
  <si>
    <t>Letter or message on file</t>
  </si>
  <si>
    <t>Participant list and safety kit</t>
  </si>
  <si>
    <t>Emergency contacts; boots, gloves, first aid, water; life jackets for any boat transfer</t>
  </si>
  <si>
    <t>Participant list, kit checklist</t>
  </si>
  <si>
    <t>T-1: check</t>
  </si>
  <si>
    <t>Seedling quality check at the nursery</t>
  </si>
  <si>
    <t>Count, height, healthy leaves, intact root ball, no pests; reject below standard</t>
  </si>
  <si>
    <t>Science team + partner</t>
  </si>
  <si>
    <t>QC sheet: accepted and rejected</t>
  </si>
  <si>
    <t>Weather and sea check</t>
  </si>
  <si>
    <t>Marine forecast checked; go or no-go sent by 06:00 on the day; backup date agreed</t>
  </si>
  <si>
    <t>Go/no-go message</t>
  </si>
  <si>
    <t>Prepare data tools</t>
  </si>
  <si>
    <t>Forms loaded, plot tags with batch codes printed, GPS and phones charged</t>
  </si>
  <si>
    <t>Ready checklist</t>
  </si>
  <si>
    <t>Day: plant</t>
  </si>
  <si>
    <t>Safety and method briefing</t>
  </si>
  <si>
    <t>Tide time, mud safety, planting depth, staking and tying, nothing plastic left behind</t>
  </si>
  <si>
    <t>Briefing done before planting starts</t>
  </si>
  <si>
    <t>Assign plots to teams, one recorder per plot</t>
  </si>
  <si>
    <t>Each recorder tallies seedlings planted in their plot</t>
  </si>
  <si>
    <t>Tally per plot</t>
  </si>
  <si>
    <t>Take photo-point pictures</t>
  </si>
  <si>
    <t>Same position and direction on every visit, plot ID in the file name</t>
  </si>
  <si>
    <t>Photo log</t>
  </si>
  <si>
    <t>Collect polybags and ties</t>
  </si>
  <si>
    <t>Bags out equals bags back</t>
  </si>
  <si>
    <t>Everyone</t>
  </si>
  <si>
    <t>Bag count</t>
  </si>
  <si>
    <t>Close-out (same day)</t>
  </si>
  <si>
    <t>Three-way seedling count</t>
  </si>
  <si>
    <t>Delivered = planted + spare returned + rejected; signed by field lead and partner lead</t>
  </si>
  <si>
    <t>Signed tally</t>
  </si>
  <si>
    <t>Enter the data and run the checks</t>
  </si>
  <si>
    <t>Rows entered the same day, paper sheets photographed, QA flags at zero</t>
  </si>
  <si>
    <t>Planting_Log and Monitoring rows</t>
  </si>
  <si>
    <t>Census at months 1, 3, 6 and 12</t>
  </si>
  <si>
    <t>Replanting by the agreed terms when stocking falls below the trigger</t>
  </si>
  <si>
    <t>Monitoring rows, Plot_Status actions</t>
  </si>
  <si>
    <t>Pay the partner group on the agreed date and share results back</t>
  </si>
  <si>
    <t>Payment logged; results explained to the group in a short session</t>
  </si>
  <si>
    <t>Ops lead + finance</t>
  </si>
  <si>
    <t>Payment log, session note</t>
  </si>
  <si>
    <t>Risk register for planting and monitoring (draft)</t>
  </si>
  <si>
    <t>Likelihood and severity 1 (low) to 3 (high). Score = likelihood x severity; 6 or 9 = High, 3 or 4 = Medium, 1 or 2 = Low.</t>
  </si>
  <si>
    <t>ID</t>
  </si>
  <si>
    <t>Risk</t>
  </si>
  <si>
    <t>Cause or trigger</t>
  </si>
  <si>
    <t>Likelihood</t>
  </si>
  <si>
    <t>Severity</t>
  </si>
  <si>
    <t>Score</t>
  </si>
  <si>
    <t>Rating</t>
  </si>
  <si>
    <t>Control before the day</t>
  </si>
  <si>
    <t>Control on the day</t>
  </si>
  <si>
    <t>Early warning</t>
  </si>
  <si>
    <t>R01</t>
  </si>
  <si>
    <t>Seedlings planted in the wrong zone (too low, flooded too long)</t>
  </si>
  <si>
    <t>Site chosen by convenience, not by flooding</t>
  </si>
  <si>
    <t>Compare elevation and flooding with nearby natural mangroves; pilot plot before scaling</t>
  </si>
  <si>
    <t>Plant only inside the marked zone</t>
  </si>
  <si>
    <t>Month-1 losses above 20% in the lowest plots</t>
  </si>
  <si>
    <t>R02</t>
  </si>
  <si>
    <t>Tide window missed</t>
  </si>
  <si>
    <t>Ceremony or boat delay</t>
  </si>
  <si>
    <t>Schedule from the tide table; ceremony after planting or kept short</t>
  </si>
  <si>
    <t>Hard stop time announced at the briefing</t>
  </si>
  <si>
    <t>Start delayed by more than 30 minutes</t>
  </si>
  <si>
    <t>R03</t>
  </si>
  <si>
    <t>Wave exposure and scour on open fringe</t>
  </si>
  <si>
    <t>Exposed plots, no shelter</t>
  </si>
  <si>
    <t>Plant sheltered zones first, behind wave breakers where they exist; stake seedlings</t>
  </si>
  <si>
    <t>Check stakes and ties before leaving</t>
  </si>
  <si>
    <t>Missing counts rising at month 1</t>
  </si>
  <si>
    <t>R04</t>
  </si>
  <si>
    <t>Barnacle load and debris on stems</t>
  </si>
  <si>
    <t>Low maintenance between visits</t>
  </si>
  <si>
    <t>Monthly cleaning duty written into the partner agreement</t>
  </si>
  <si>
    <t>Show cleaning method at the briefing</t>
  </si>
  <si>
    <t>Partner lead</t>
  </si>
  <si>
    <t>Barnacles named as main cause at a census</t>
  </si>
  <si>
    <t>R05</t>
  </si>
  <si>
    <t>Poor seedling quality</t>
  </si>
  <si>
    <t>Too young, damaged or diseased stock</t>
  </si>
  <si>
    <t>Nursery check on T-1 with written reject criteria; 10% spare</t>
  </si>
  <si>
    <t>Recorder sets aside rejected seedlings</t>
  </si>
  <si>
    <t>Rejection rate above 10%</t>
  </si>
  <si>
    <t>R06</t>
  </si>
  <si>
    <t>Counts do not reconcile (delivered, planted, reported)</t>
  </si>
  <si>
    <t>Tally errors, late data entry</t>
  </si>
  <si>
    <t>One recorder per plot; tally sheets printed</t>
  </si>
  <si>
    <t>Three-way count signed; same-day entry with QA checks</t>
  </si>
  <si>
    <t>QA flags on entry</t>
  </si>
  <si>
    <t>R07</t>
  </si>
  <si>
    <t>Plot cannot be found again</t>
  </si>
  <si>
    <t>No marker, GPS drift, photo point not fixed</t>
  </si>
  <si>
    <t>Fixed markers, waypoint ID and photo point for every plot</t>
  </si>
  <si>
    <t>Photo of each marker</t>
  </si>
  <si>
    <t>Census note: plot not located</t>
  </si>
  <si>
    <t>R08</t>
  </si>
  <si>
    <t>Partner group unclear on roles or payment</t>
  </si>
  <si>
    <t>Terms agreed verbally only</t>
  </si>
  <si>
    <t>Written agreement in Bahasa Indonesia; named contact; payment date</t>
  </si>
  <si>
    <t>Repeat the terms at the briefing</t>
  </si>
  <si>
    <t>Maintenance visits missed</t>
  </si>
  <si>
    <t>R09</t>
  </si>
  <si>
    <t>Grazing, trampling or human disturbance</t>
  </si>
  <si>
    <t>Livestock or foot traffic near the site</t>
  </si>
  <si>
    <t>Agree signs or simple fencing with the village where livestock roam</t>
  </si>
  <si>
    <t>Mark planted rows clearly</t>
  </si>
  <si>
    <t>Grazing named as main cause</t>
  </si>
  <si>
    <t>R10</t>
  </si>
  <si>
    <t>Injury: cuts, slips, heat, boat transfer</t>
  </si>
  <si>
    <t>Mud, shells, sun, small boats</t>
  </si>
  <si>
    <t>PPE list, first-aid kit, life jackets, buddy system</t>
  </si>
  <si>
    <t>Safety briefing; water breaks</t>
  </si>
  <si>
    <t>Any near-miss reported</t>
  </si>
  <si>
    <t>R11</t>
  </si>
  <si>
    <t>Bad weather or high waves</t>
  </si>
  <si>
    <t>Season, storms</t>
  </si>
  <si>
    <t>Marine forecast check; go or no-go by 06:00; backup date</t>
  </si>
  <si>
    <t>Stop work if waves or lightning</t>
  </si>
  <si>
    <t>Forecast warning issued</t>
  </si>
  <si>
    <t>R12</t>
  </si>
  <si>
    <t>Plastic left on site</t>
  </si>
  <si>
    <t>Polybags and ties dropped</t>
  </si>
  <si>
    <t>Bag count planned</t>
  </si>
  <si>
    <t>Bag count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</si>
</sst>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 mmm\ yyyy"/>
  </numFmts>
  <fonts count="10" x14ac:knownFonts="1">
    <font>
      <sz val="11"/>
      <color theme="1"/>
      <name val="Calibri"/>
      <family val="2"/>
      <scheme val="minor"/>
    </font>
    <font>
      <b/>
      <sz val="15"/>
      <color rgb="FF101828"/>
      <name val="Calibri"/>
    </font>
    <font>
      <i/>
      <sz val="10"/>
      <color rgb="FF475467"/>
      <name val="Calibri"/>
    </font>
    <font>
      <b/>
      <sz val="10"/>
      <color rgb="FF0F5C6E"/>
      <name val="Calibri"/>
    </font>
    <font>
      <sz val="10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0F5C6E"/>
      <name val="Calibri"/>
    </font>
    <font>
      <sz val="9"/>
      <color rgb="FF475467"/>
      <name val="Calibri"/>
    </font>
    <font>
      <b/>
      <sz val="18"/>
      <color rgb="FF0F5C6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5C6E"/>
        <bgColor rgb="FF0F5C6E"/>
      </patternFill>
    </fill>
    <fill>
      <patternFill patternType="solid">
        <fgColor rgb="FFF2F4F7"/>
        <bgColor rgb="FFF2F4F7"/>
      </patternFill>
    </fill>
    <fill>
      <patternFill patternType="solid">
        <fgColor rgb="FFFFF8E1"/>
        <bgColor rgb="FFFFF8E1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/>
    <xf numFmtId="165" fontId="0" fillId="0" borderId="0" xfId="0" applyNumberFormat="1"/>
    <xf numFmtId="0" fontId="8" fillId="0" borderId="0" xfId="0" applyFont="1"/>
    <xf numFmtId="1" fontId="9" fillId="0" borderId="0" xfId="0" applyNumberFormat="1" applyFont="1" applyAlignment="1">
      <alignment horizontal="left"/>
    </xf>
    <xf numFmtId="9" fontId="9" fillId="0" borderId="0" xfId="0" applyNumberFormat="1" applyFont="1" applyAlignment="1">
      <alignment horizontal="left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/>
    <xf numFmtId="0" fontId="4" fillId="3" borderId="1" xfId="0" applyFont="1" applyFill="1" applyBorder="1" applyAlignment="1">
      <alignment vertical="top"/>
    </xf>
    <xf numFmtId="165" fontId="4" fillId="4" borderId="1" xfId="0" applyNumberFormat="1" applyFont="1" applyFill="1" applyBorder="1" applyAlignment="1">
      <alignment vertical="top"/>
    </xf>
    <xf numFmtId="0" fontId="4" fillId="4" borderId="1" xfId="0" applyFont="1" applyFill="1" applyBorder="1"/>
    <xf numFmtId="9" fontId="4" fillId="4" borderId="1" xfId="0" applyNumberFormat="1" applyFont="1" applyFill="1" applyBorder="1" applyAlignment="1">
      <alignment vertical="top"/>
    </xf>
    <xf numFmtId="1" fontId="4" fillId="4" borderId="1" xfId="0" applyNumberFormat="1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165" fontId="4" fillId="3" borderId="1" xfId="0" applyNumberFormat="1" applyFont="1" applyFill="1" applyBorder="1" applyAlignment="1">
      <alignment vertical="top"/>
    </xf>
    <xf numFmtId="9" fontId="4" fillId="3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/>
    </xf>
    <xf numFmtId="9" fontId="6" fillId="3" borderId="1" xfId="0" applyNumberFormat="1" applyFont="1" applyFill="1" applyBorder="1" applyAlignment="1">
      <alignment vertical="top"/>
    </xf>
    <xf numFmtId="0" fontId="7" fillId="0" borderId="0" xfId="0" applyFont="1"/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9">
    <dxf>
      <fill>
        <patternFill patternType="solid">
          <fgColor rgb="FFE3F4EA"/>
          <bgColor rgb="FFE3F4EA"/>
        </patternFill>
      </fill>
    </dxf>
    <dxf>
      <fill>
        <patternFill patternType="solid">
          <fgColor rgb="FFFFF1CC"/>
          <bgColor rgb="FFFFF1CC"/>
        </patternFill>
      </fill>
    </dxf>
    <dxf>
      <fill>
        <patternFill patternType="solid">
          <fgColor rgb="FFFDE2E1"/>
          <bgColor rgb="FFFDE2E1"/>
        </patternFill>
      </fill>
    </dxf>
    <dxf>
      <fill>
        <patternFill patternType="solid">
          <fgColor rgb="FFFDE2E1"/>
          <bgColor rgb="FFFDE2E1"/>
        </patternFill>
      </fill>
    </dxf>
    <dxf>
      <fill>
        <patternFill patternType="solid">
          <fgColor rgb="FFE8F0FB"/>
          <bgColor rgb="FFE8F0FB"/>
        </patternFill>
      </fill>
    </dxf>
    <dxf>
      <fill>
        <patternFill patternType="solid">
          <fgColor rgb="FFE3F4EA"/>
          <bgColor rgb="FFE3F4EA"/>
        </patternFill>
      </fill>
    </dxf>
    <dxf>
      <fill>
        <patternFill patternType="solid">
          <fgColor rgb="FFFFF1CC"/>
          <bgColor rgb="FFFFF1CC"/>
        </patternFill>
      </fill>
    </dxf>
    <dxf>
      <fill>
        <patternFill patternType="solid">
          <fgColor rgb="FFFDE2E1"/>
          <bgColor rgb="FFFDE2E1"/>
        </patternFill>
      </fill>
    </dxf>
    <dxf>
      <fill>
        <patternFill patternType="solid">
          <fgColor rgb="FFFDE2E1"/>
          <bgColor rgb="FFFDE2E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Stocking at the last clean visit, by plot (grey line = replanting trigger)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Plot_Status!$I$4</c:f>
              <c:strCache>
                <c:ptCount val="1"/>
                <c:pt idx="0">
                  <c:v>Stocking (vs design)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cat>
            <c:strRef>
              <c:f>Plot_Status!$A$5:$A$16</c:f>
              <c:strCache>
                <c:ptCount val="12"/>
                <c:pt idx="0">
                  <c:v>A01</c:v>
                </c:pt>
                <c:pt idx="1">
                  <c:v>A02</c:v>
                </c:pt>
                <c:pt idx="2">
                  <c:v>A03</c:v>
                </c:pt>
                <c:pt idx="3">
                  <c:v>A04</c:v>
                </c:pt>
                <c:pt idx="4">
                  <c:v>B01</c:v>
                </c:pt>
                <c:pt idx="5">
                  <c:v>B02</c:v>
                </c:pt>
                <c:pt idx="6">
                  <c:v>B03</c:v>
                </c:pt>
                <c:pt idx="7">
                  <c:v>B04</c:v>
                </c:pt>
                <c:pt idx="8">
                  <c:v>C01</c:v>
                </c:pt>
                <c:pt idx="9">
                  <c:v>C02</c:v>
                </c:pt>
                <c:pt idx="10">
                  <c:v>C03</c:v>
                </c:pt>
                <c:pt idx="11">
                  <c:v>C04</c:v>
                </c:pt>
              </c:strCache>
            </c:strRef>
          </c:cat>
          <c:val>
            <c:numRef>
              <c:f>Plot_Status!$I$5:$I$16</c:f>
              <c:numCache>
                <c:formatCode>0%</c:formatCode>
                <c:ptCount val="12"/>
                <c:pt idx="0">
                  <c:v>0.57199999999999995</c:v>
                </c:pt>
                <c:pt idx="1">
                  <c:v>0.74399999999999999</c:v>
                </c:pt>
                <c:pt idx="2">
                  <c:v>0.73</c:v>
                </c:pt>
                <c:pt idx="3">
                  <c:v>0.66666666666666663</c:v>
                </c:pt>
                <c:pt idx="4">
                  <c:v>0.85</c:v>
                </c:pt>
                <c:pt idx="5">
                  <c:v>0.90833333333333333</c:v>
                </c:pt>
                <c:pt idx="6">
                  <c:v>0.66363636363636369</c:v>
                </c:pt>
                <c:pt idx="7">
                  <c:v>0.89166666666666672</c:v>
                </c:pt>
                <c:pt idx="8">
                  <c:v>0.85</c:v>
                </c:pt>
                <c:pt idx="9">
                  <c:v>0.72499999999999998</c:v>
                </c:pt>
                <c:pt idx="10">
                  <c:v>0.88749999999999996</c:v>
                </c:pt>
                <c:pt idx="11">
                  <c:v>0.9375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FE0-4E13-93FC-75CB6BA24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Plot_Status!$S$4</c:f>
              <c:strCache>
                <c:ptCount val="1"/>
                <c:pt idx="0">
                  <c:v>Trigger</c:v>
                </c:pt>
              </c:strCache>
            </c:strRef>
          </c:tx>
          <c:spPr>
            <a:ln w="19050">
              <a:solidFill>
                <a:srgbClr val="52514E"/>
              </a:solidFill>
              <a:prstDash val="solid"/>
            </a:ln>
          </c:spPr>
          <c:marker>
            <c:symbol val="none"/>
          </c:marker>
          <c:val>
            <c:numRef>
              <c:f>Plot_Status!$S$5:$S$16</c:f>
              <c:numCache>
                <c:formatCode>0%</c:formatCode>
                <c:ptCount val="12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E0-4E13-93FC-75CB6BA24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E1E0D9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Stocking by census month, by site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Site_Summary!$A$14</c:f>
              <c:strCache>
                <c:ptCount val="1"/>
                <c:pt idx="0">
                  <c:v>Site A - seaward fringe</c:v>
                </c:pt>
              </c:strCache>
            </c:strRef>
          </c:tx>
          <c:spPr>
            <a:ln w="28575">
              <a:solidFill>
                <a:srgbClr val="2A78D6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</c:marker>
          <c:cat>
            <c:strRef>
              <c:f>Site_Summary!$B$13:$D$13</c:f>
              <c:strCache>
                <c:ptCount val="3"/>
                <c:pt idx="0">
                  <c:v>Month 1</c:v>
                </c:pt>
                <c:pt idx="1">
                  <c:v>Month 3</c:v>
                </c:pt>
                <c:pt idx="2">
                  <c:v>Month 6</c:v>
                </c:pt>
              </c:strCache>
            </c:strRef>
          </c:cat>
          <c:val>
            <c:numRef>
              <c:f>Site_Summary!$B$14:$D$14</c:f>
              <c:numCache>
                <c:formatCode>0%</c:formatCode>
                <c:ptCount val="3"/>
                <c:pt idx="0">
                  <c:v>0.91861111111111104</c:v>
                </c:pt>
                <c:pt idx="1">
                  <c:v>0.74148148148148152</c:v>
                </c:pt>
                <c:pt idx="2">
                  <c:v>0.61666666666666659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2-46DE-980C-BE9C4953DBC3}"/>
            </c:ext>
          </c:extLst>
        </c:ser>
        <c:ser>
          <c:idx val="1"/>
          <c:order val="1"/>
          <c:tx>
            <c:strRef>
              <c:f>Site_Summary!$A$15</c:f>
              <c:strCache>
                <c:ptCount val="1"/>
                <c:pt idx="0">
                  <c:v>Site B - pond dyke</c:v>
                </c:pt>
              </c:strCache>
            </c:strRef>
          </c:tx>
          <c:spPr>
            <a:ln w="28575">
              <a:solidFill>
                <a:srgbClr val="EB683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c:spPr>
          </c:marker>
          <c:cat>
            <c:strRef>
              <c:f>Site_Summary!$B$13:$D$13</c:f>
              <c:strCache>
                <c:ptCount val="3"/>
                <c:pt idx="0">
                  <c:v>Month 1</c:v>
                </c:pt>
                <c:pt idx="1">
                  <c:v>Month 3</c:v>
                </c:pt>
                <c:pt idx="2">
                  <c:v>Month 6</c:v>
                </c:pt>
              </c:strCache>
            </c:strRef>
          </c:cat>
          <c:val>
            <c:numRef>
              <c:f>Site_Summary!$B$15:$D$15</c:f>
              <c:numCache>
                <c:formatCode>0%</c:formatCode>
                <c:ptCount val="3"/>
                <c:pt idx="0">
                  <c:v>0.96237373737373744</c:v>
                </c:pt>
                <c:pt idx="1">
                  <c:v>0.90416666666666667</c:v>
                </c:pt>
                <c:pt idx="2">
                  <c:v>0.8017676767676768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A2-46DE-980C-BE9C4953DBC3}"/>
            </c:ext>
          </c:extLst>
        </c:ser>
        <c:ser>
          <c:idx val="2"/>
          <c:order val="2"/>
          <c:tx>
            <c:strRef>
              <c:f>Site_Summary!$A$16</c:f>
              <c:strCache>
                <c:ptCount val="1"/>
                <c:pt idx="0">
                  <c:v>Site C - sheltered lagoon</c:v>
                </c:pt>
              </c:strCache>
            </c:strRef>
          </c:tx>
          <c:spPr>
            <a:ln w="28575">
              <a:solidFill>
                <a:srgbClr val="1BAF7A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c:spPr>
          </c:marker>
          <c:cat>
            <c:strRef>
              <c:f>Site_Summary!$B$13:$D$13</c:f>
              <c:strCache>
                <c:ptCount val="3"/>
                <c:pt idx="0">
                  <c:v>Month 1</c:v>
                </c:pt>
                <c:pt idx="1">
                  <c:v>Month 3</c:v>
                </c:pt>
                <c:pt idx="2">
                  <c:v>Month 6</c:v>
                </c:pt>
              </c:strCache>
            </c:strRef>
          </c:cat>
          <c:val>
            <c:numRef>
              <c:f>Site_Summary!$B$16:$D$16</c:f>
              <c:numCache>
                <c:formatCode>0%</c:formatCode>
                <c:ptCount val="3"/>
                <c:pt idx="0">
                  <c:v>0.96833333333333327</c:v>
                </c:pt>
                <c:pt idx="1">
                  <c:v>0.89166666666666661</c:v>
                </c:pt>
                <c:pt idx="2">
                  <c:v>0.8208333333333333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A2-46DE-980C-BE9C4953D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.5"/>
        </c:scaling>
        <c:delete val="0"/>
        <c:axPos val="l"/>
        <c:majorGridlines>
          <c:spPr>
            <a:ln>
              <a:solidFill>
                <a:srgbClr val="E1E0D9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Seedlings lost, by main cause at the last clean visit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Site_Summary!$H$13</c:f>
              <c:strCache>
                <c:ptCount val="1"/>
                <c:pt idx="0">
                  <c:v>Seedlings lost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cat>
            <c:strRef>
              <c:f>Site_Summary!$F$14:$F$21</c:f>
              <c:strCache>
                <c:ptCount val="8"/>
                <c:pt idx="0">
                  <c:v>Wave/scour</c:v>
                </c:pt>
                <c:pt idx="1">
                  <c:v>Barnacles</c:v>
                </c:pt>
                <c:pt idx="2">
                  <c:v>Sediment burial</c:v>
                </c:pt>
                <c:pt idx="3">
                  <c:v>Crab damage</c:v>
                </c:pt>
                <c:pt idx="4">
                  <c:v>Grazing</c:v>
                </c:pt>
                <c:pt idx="5">
                  <c:v>Debris/plastic</c:v>
                </c:pt>
                <c:pt idx="6">
                  <c:v>Human disturbance</c:v>
                </c:pt>
                <c:pt idx="7">
                  <c:v>Unknown</c:v>
                </c:pt>
              </c:strCache>
            </c:strRef>
          </c:cat>
          <c:val>
            <c:numRef>
              <c:f>Site_Summary!$H$14:$H$21</c:f>
              <c:numCache>
                <c:formatCode>General</c:formatCode>
                <c:ptCount val="8"/>
                <c:pt idx="0">
                  <c:v>214</c:v>
                </c:pt>
                <c:pt idx="1">
                  <c:v>570</c:v>
                </c:pt>
                <c:pt idx="2">
                  <c:v>185</c:v>
                </c:pt>
                <c:pt idx="3">
                  <c:v>235</c:v>
                </c:pt>
                <c:pt idx="4">
                  <c:v>110</c:v>
                </c:pt>
                <c:pt idx="5">
                  <c:v>105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84-4D99-94E1-3A428A7F7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>
              <a:solidFill>
                <a:srgbClr val="E1E0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61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27</xdr:row>
      <xdr:rowOff>0</xdr:rowOff>
    </xdr:from>
    <xdr:ext cx="432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0"/>
  <sheetViews>
    <sheetView tabSelected="1" workbookViewId="0"/>
  </sheetViews>
  <sheetFormatPr defaultRowHeight="14.5" x14ac:dyDescent="0.35"/>
  <cols>
    <col min="1" max="1" width="32" customWidth="1"/>
    <col min="2" max="2" width="110" customWidth="1"/>
  </cols>
  <sheetData>
    <row r="1" spans="1:2" ht="19.5" x14ac:dyDescent="0.45">
      <c r="A1" s="1" t="s">
        <v>0</v>
      </c>
    </row>
    <row r="2" spans="1:2" x14ac:dyDescent="0.35">
      <c r="A2" s="2" t="s">
        <v>1</v>
      </c>
    </row>
    <row r="4" spans="1:2" ht="26" x14ac:dyDescent="0.35">
      <c r="A4" s="3" t="s">
        <v>2</v>
      </c>
      <c r="B4" s="4" t="s">
        <v>3</v>
      </c>
    </row>
    <row r="5" spans="1:2" ht="26" x14ac:dyDescent="0.35">
      <c r="A5" s="3" t="s">
        <v>4</v>
      </c>
      <c r="B5" s="4" t="s">
        <v>5</v>
      </c>
    </row>
    <row r="6" spans="1:2" ht="39" x14ac:dyDescent="0.35">
      <c r="A6" s="3" t="s">
        <v>6</v>
      </c>
      <c r="B6" s="4" t="s">
        <v>7</v>
      </c>
    </row>
    <row r="7" spans="1:2" x14ac:dyDescent="0.35">
      <c r="A7" s="3" t="s">
        <v>8</v>
      </c>
      <c r="B7" s="4" t="s">
        <v>9</v>
      </c>
    </row>
    <row r="8" spans="1:2" x14ac:dyDescent="0.35">
      <c r="A8" s="3" t="s">
        <v>10</v>
      </c>
      <c r="B8" s="4" t="s">
        <v>11</v>
      </c>
    </row>
    <row r="9" spans="1:2" ht="26" x14ac:dyDescent="0.35">
      <c r="A9" s="3" t="s">
        <v>12</v>
      </c>
      <c r="B9" s="4" t="s">
        <v>13</v>
      </c>
    </row>
    <row r="10" spans="1:2" ht="26" x14ac:dyDescent="0.35">
      <c r="A10" s="3" t="s">
        <v>14</v>
      </c>
      <c r="B10" s="4" t="s">
        <v>15</v>
      </c>
    </row>
    <row r="11" spans="1:2" x14ac:dyDescent="0.35">
      <c r="A11" s="3" t="s">
        <v>16</v>
      </c>
      <c r="B11" s="4" t="s">
        <v>17</v>
      </c>
    </row>
    <row r="12" spans="1:2" x14ac:dyDescent="0.35">
      <c r="A12" s="3" t="s">
        <v>18</v>
      </c>
      <c r="B12" s="4" t="s">
        <v>19</v>
      </c>
    </row>
    <row r="13" spans="1:2" x14ac:dyDescent="0.35">
      <c r="A13" s="3" t="s">
        <v>20</v>
      </c>
      <c r="B13" s="4" t="s">
        <v>21</v>
      </c>
    </row>
    <row r="14" spans="1:2" ht="26" x14ac:dyDescent="0.35">
      <c r="A14" s="3" t="s">
        <v>22</v>
      </c>
      <c r="B14" s="4" t="s">
        <v>23</v>
      </c>
    </row>
    <row r="15" spans="1:2" x14ac:dyDescent="0.35">
      <c r="A15" s="3" t="s">
        <v>24</v>
      </c>
      <c r="B15" s="4" t="s">
        <v>25</v>
      </c>
    </row>
    <row r="16" spans="1:2" x14ac:dyDescent="0.35">
      <c r="A16" s="3" t="s">
        <v>26</v>
      </c>
      <c r="B16" s="4" t="s">
        <v>27</v>
      </c>
    </row>
    <row r="17" spans="1:2" x14ac:dyDescent="0.35">
      <c r="A17" s="3" t="s">
        <v>28</v>
      </c>
      <c r="B17" s="4" t="s">
        <v>29</v>
      </c>
    </row>
    <row r="18" spans="1:2" x14ac:dyDescent="0.35">
      <c r="A18" s="3" t="s">
        <v>30</v>
      </c>
      <c r="B18" s="4" t="s">
        <v>31</v>
      </c>
    </row>
    <row r="19" spans="1:2" x14ac:dyDescent="0.35">
      <c r="A19" s="3" t="s">
        <v>32</v>
      </c>
      <c r="B19" s="4" t="s">
        <v>33</v>
      </c>
    </row>
    <row r="20" spans="1:2" x14ac:dyDescent="0.35">
      <c r="A20" s="3" t="s">
        <v>34</v>
      </c>
      <c r="B20" s="4" t="s">
        <v>35</v>
      </c>
    </row>
  </sheetData>
  <printOptions horizontalCentered="1"/>
  <pageMargins left="0.4" right="0.4" top="0.5" bottom="0.5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9"/>
  <sheetViews>
    <sheetView workbookViewId="0"/>
  </sheetViews>
  <sheetFormatPr defaultRowHeight="14.5" x14ac:dyDescent="0.35"/>
  <cols>
    <col min="1" max="8" width="15" customWidth="1"/>
  </cols>
  <sheetData>
    <row r="1" spans="1:7" ht="19.5" x14ac:dyDescent="0.45">
      <c r="A1" s="1" t="s">
        <v>36</v>
      </c>
    </row>
    <row r="2" spans="1:7" x14ac:dyDescent="0.35">
      <c r="A2" s="2" t="s">
        <v>37</v>
      </c>
    </row>
    <row r="3" spans="1:7" x14ac:dyDescent="0.35">
      <c r="A3" s="5" t="s">
        <v>38</v>
      </c>
      <c r="B3" s="6">
        <f>ReportDate</f>
        <v>46295</v>
      </c>
    </row>
    <row r="5" spans="1:7" x14ac:dyDescent="0.35">
      <c r="A5" s="7" t="s">
        <v>39</v>
      </c>
      <c r="C5" s="7" t="s">
        <v>40</v>
      </c>
      <c r="E5" s="7" t="s">
        <v>41</v>
      </c>
      <c r="G5" s="7" t="s">
        <v>42</v>
      </c>
    </row>
    <row r="6" spans="1:7" ht="23.5" x14ac:dyDescent="0.55000000000000004">
      <c r="A6" s="8">
        <f>Site_Summary!C8</f>
        <v>5900</v>
      </c>
      <c r="C6" s="8">
        <f>Site_Summary!D8</f>
        <v>272</v>
      </c>
      <c r="E6" s="8">
        <f>Site_Summary!E8</f>
        <v>4638</v>
      </c>
      <c r="G6" s="9">
        <f>Site_Summary!F8</f>
        <v>0.78610169491525428</v>
      </c>
    </row>
    <row r="8" spans="1:7" x14ac:dyDescent="0.35">
      <c r="A8" s="7" t="s">
        <v>43</v>
      </c>
      <c r="C8" s="7" t="s">
        <v>44</v>
      </c>
      <c r="E8" s="7" t="s">
        <v>45</v>
      </c>
      <c r="G8" s="7" t="s">
        <v>46</v>
      </c>
    </row>
    <row r="9" spans="1:7" ht="23.5" x14ac:dyDescent="0.55000000000000004">
      <c r="A9" s="8">
        <f>Site_Summary!G8</f>
        <v>2</v>
      </c>
      <c r="C9" s="8">
        <f>Site_Summary!H8</f>
        <v>135</v>
      </c>
      <c r="E9" s="8">
        <f>Site_Summary!I8</f>
        <v>5</v>
      </c>
      <c r="G9" s="8">
        <f>COUNTIF(Monitoring!$Z$5:$Z$200,"&gt;0")</f>
        <v>9</v>
      </c>
    </row>
  </sheetData>
  <printOptions horizontalCentered="1"/>
  <pageMargins left="0.4" right="0.4" top="0.5" bottom="0.5" header="0.5" footer="0.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1"/>
  <sheetViews>
    <sheetView workbookViewId="0"/>
  </sheetViews>
  <sheetFormatPr defaultRowHeight="14.5" x14ac:dyDescent="0.35"/>
  <cols>
    <col min="1" max="1" width="16" customWidth="1"/>
    <col min="2" max="2" width="38" customWidth="1"/>
    <col min="3" max="3" width="16" customWidth="1"/>
    <col min="5" max="9" width="26" customWidth="1"/>
  </cols>
  <sheetData>
    <row r="1" spans="1:9" ht="19.5" x14ac:dyDescent="0.45">
      <c r="A1" s="1" t="s">
        <v>47</v>
      </c>
    </row>
    <row r="2" spans="1:9" x14ac:dyDescent="0.35">
      <c r="A2" s="2" t="s">
        <v>48</v>
      </c>
    </row>
    <row r="3" spans="1:9" ht="30" customHeight="1" x14ac:dyDescent="0.35">
      <c r="A3" s="10" t="s">
        <v>49</v>
      </c>
      <c r="B3" s="10" t="s">
        <v>50</v>
      </c>
      <c r="C3" s="10" t="s">
        <v>51</v>
      </c>
      <c r="E3" s="11" t="s">
        <v>52</v>
      </c>
      <c r="F3" s="11" t="s">
        <v>53</v>
      </c>
      <c r="G3" s="11" t="s">
        <v>54</v>
      </c>
      <c r="H3" s="11" t="s">
        <v>55</v>
      </c>
      <c r="I3" s="11" t="s">
        <v>56</v>
      </c>
    </row>
    <row r="4" spans="1:9" x14ac:dyDescent="0.35">
      <c r="A4" s="12" t="s">
        <v>57</v>
      </c>
      <c r="B4" s="12" t="s">
        <v>38</v>
      </c>
      <c r="C4" s="13">
        <v>46295</v>
      </c>
      <c r="E4" s="14" t="s">
        <v>58</v>
      </c>
      <c r="F4" s="14" t="s">
        <v>59</v>
      </c>
      <c r="G4" s="14" t="s">
        <v>60</v>
      </c>
      <c r="H4" s="14" t="s">
        <v>61</v>
      </c>
      <c r="I4" s="14" t="s">
        <v>62</v>
      </c>
    </row>
    <row r="5" spans="1:9" x14ac:dyDescent="0.35">
      <c r="A5" s="12" t="s">
        <v>63</v>
      </c>
      <c r="B5" s="12" t="s">
        <v>64</v>
      </c>
      <c r="C5" s="15">
        <v>0.7</v>
      </c>
      <c r="E5" s="14" t="s">
        <v>65</v>
      </c>
      <c r="F5" s="14" t="s">
        <v>66</v>
      </c>
      <c r="G5" s="14" t="s">
        <v>67</v>
      </c>
      <c r="H5" s="14" t="s">
        <v>68</v>
      </c>
      <c r="I5" s="14" t="s">
        <v>69</v>
      </c>
    </row>
    <row r="6" spans="1:9" x14ac:dyDescent="0.35">
      <c r="A6" s="12" t="s">
        <v>70</v>
      </c>
      <c r="B6" s="12" t="s">
        <v>71</v>
      </c>
      <c r="C6" s="16">
        <v>6</v>
      </c>
      <c r="E6" s="14" t="s">
        <v>72</v>
      </c>
      <c r="F6" s="14" t="s">
        <v>73</v>
      </c>
      <c r="G6" s="14" t="s">
        <v>74</v>
      </c>
      <c r="H6" s="14" t="s">
        <v>75</v>
      </c>
      <c r="I6" s="14" t="s">
        <v>76</v>
      </c>
    </row>
    <row r="7" spans="1:9" x14ac:dyDescent="0.35">
      <c r="A7" s="12" t="s">
        <v>77</v>
      </c>
      <c r="B7" s="12" t="s">
        <v>78</v>
      </c>
      <c r="C7" s="15">
        <v>0.1</v>
      </c>
      <c r="F7" s="14" t="s">
        <v>79</v>
      </c>
      <c r="G7" s="14" t="s">
        <v>80</v>
      </c>
      <c r="H7" s="14" t="s">
        <v>81</v>
      </c>
    </row>
    <row r="8" spans="1:9" x14ac:dyDescent="0.35">
      <c r="A8" s="12" t="s">
        <v>82</v>
      </c>
      <c r="B8" s="12" t="s">
        <v>83</v>
      </c>
      <c r="C8" s="15">
        <v>0.8</v>
      </c>
      <c r="G8" s="14" t="s">
        <v>84</v>
      </c>
      <c r="H8" s="14" t="s">
        <v>85</v>
      </c>
    </row>
    <row r="9" spans="1:9" x14ac:dyDescent="0.35">
      <c r="A9" s="12" t="s">
        <v>86</v>
      </c>
      <c r="B9" s="12" t="s">
        <v>87</v>
      </c>
      <c r="C9" s="16">
        <v>10</v>
      </c>
      <c r="G9" s="14" t="s">
        <v>88</v>
      </c>
    </row>
    <row r="10" spans="1:9" x14ac:dyDescent="0.35">
      <c r="A10" s="12" t="s">
        <v>89</v>
      </c>
      <c r="B10" s="12" t="s">
        <v>90</v>
      </c>
      <c r="C10" s="16">
        <v>250</v>
      </c>
      <c r="G10" s="14" t="s">
        <v>91</v>
      </c>
    </row>
    <row r="11" spans="1:9" x14ac:dyDescent="0.35">
      <c r="A11" s="12" t="s">
        <v>92</v>
      </c>
      <c r="B11" s="12" t="s">
        <v>93</v>
      </c>
      <c r="C11" s="16">
        <v>100</v>
      </c>
      <c r="G11" s="14" t="s">
        <v>94</v>
      </c>
    </row>
  </sheetData>
  <printOptions horizontalCentered="1"/>
  <pageMargins left="0.4" right="0.4" top="0.5" bottom="0.5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9" customWidth="1"/>
    <col min="2" max="2" width="26" customWidth="1"/>
    <col min="3" max="3" width="20" customWidth="1"/>
    <col min="4" max="4" width="13" customWidth="1"/>
    <col min="5" max="5" width="22" customWidth="1"/>
    <col min="6" max="6" width="28" customWidth="1"/>
    <col min="7" max="7" width="11" customWidth="1"/>
    <col min="8" max="8" width="9" customWidth="1"/>
    <col min="9" max="9" width="16" customWidth="1"/>
    <col min="10" max="11" width="13" customWidth="1"/>
    <col min="12" max="12" width="24" customWidth="1"/>
  </cols>
  <sheetData>
    <row r="1" spans="1:12" ht="19.5" x14ac:dyDescent="0.45">
      <c r="A1" s="1" t="s">
        <v>95</v>
      </c>
    </row>
    <row r="2" spans="1:12" x14ac:dyDescent="0.35">
      <c r="A2" s="2" t="s">
        <v>96</v>
      </c>
    </row>
    <row r="4" spans="1:12" ht="30" customHeight="1" x14ac:dyDescent="0.35">
      <c r="A4" s="10" t="s">
        <v>97</v>
      </c>
      <c r="B4" s="10" t="s">
        <v>98</v>
      </c>
      <c r="C4" s="10" t="s">
        <v>99</v>
      </c>
      <c r="D4" s="10" t="s">
        <v>100</v>
      </c>
      <c r="E4" s="10" t="s">
        <v>53</v>
      </c>
      <c r="F4" s="10" t="s">
        <v>101</v>
      </c>
      <c r="G4" s="10" t="s">
        <v>102</v>
      </c>
      <c r="H4" s="10" t="s">
        <v>103</v>
      </c>
      <c r="I4" s="10" t="s">
        <v>104</v>
      </c>
      <c r="J4" s="10" t="s">
        <v>105</v>
      </c>
      <c r="K4" s="10" t="s">
        <v>106</v>
      </c>
      <c r="L4" s="10" t="s">
        <v>107</v>
      </c>
    </row>
    <row r="5" spans="1:12" x14ac:dyDescent="0.35">
      <c r="A5" s="17" t="s">
        <v>108</v>
      </c>
      <c r="B5" s="17" t="s">
        <v>58</v>
      </c>
      <c r="C5" s="17" t="s">
        <v>109</v>
      </c>
      <c r="D5" s="13">
        <v>45948</v>
      </c>
      <c r="E5" s="17" t="s">
        <v>59</v>
      </c>
      <c r="F5" s="17" t="s">
        <v>110</v>
      </c>
      <c r="G5" s="17">
        <v>500</v>
      </c>
      <c r="H5" s="17">
        <v>1</v>
      </c>
      <c r="I5" s="17" t="s">
        <v>111</v>
      </c>
      <c r="J5" s="17" t="s">
        <v>112</v>
      </c>
      <c r="K5" s="17" t="s">
        <v>113</v>
      </c>
      <c r="L5" s="17"/>
    </row>
    <row r="6" spans="1:12" x14ac:dyDescent="0.35">
      <c r="A6" s="17" t="s">
        <v>114</v>
      </c>
      <c r="B6" s="17" t="s">
        <v>58</v>
      </c>
      <c r="C6" s="17" t="s">
        <v>109</v>
      </c>
      <c r="D6" s="13">
        <v>45948</v>
      </c>
      <c r="E6" s="17" t="s">
        <v>59</v>
      </c>
      <c r="F6" s="17" t="s">
        <v>110</v>
      </c>
      <c r="G6" s="17">
        <v>500</v>
      </c>
      <c r="H6" s="17">
        <v>1</v>
      </c>
      <c r="I6" s="17" t="s">
        <v>111</v>
      </c>
      <c r="J6" s="17" t="s">
        <v>115</v>
      </c>
      <c r="K6" s="17" t="s">
        <v>116</v>
      </c>
      <c r="L6" s="17"/>
    </row>
    <row r="7" spans="1:12" x14ac:dyDescent="0.35">
      <c r="A7" s="17" t="s">
        <v>117</v>
      </c>
      <c r="B7" s="17" t="s">
        <v>58</v>
      </c>
      <c r="C7" s="17" t="s">
        <v>118</v>
      </c>
      <c r="D7" s="13">
        <v>45948</v>
      </c>
      <c r="E7" s="17" t="s">
        <v>59</v>
      </c>
      <c r="F7" s="17" t="s">
        <v>110</v>
      </c>
      <c r="G7" s="17">
        <v>500</v>
      </c>
      <c r="H7" s="17">
        <v>1</v>
      </c>
      <c r="I7" s="17" t="s">
        <v>111</v>
      </c>
      <c r="J7" s="17" t="s">
        <v>119</v>
      </c>
      <c r="K7" s="17" t="s">
        <v>120</v>
      </c>
      <c r="L7" s="17"/>
    </row>
    <row r="8" spans="1:12" x14ac:dyDescent="0.35">
      <c r="A8" s="17" t="s">
        <v>121</v>
      </c>
      <c r="B8" s="17" t="s">
        <v>58</v>
      </c>
      <c r="C8" s="17" t="s">
        <v>118</v>
      </c>
      <c r="D8" s="13">
        <v>45949</v>
      </c>
      <c r="E8" s="17" t="s">
        <v>59</v>
      </c>
      <c r="F8" s="17" t="s">
        <v>110</v>
      </c>
      <c r="G8" s="17">
        <v>450</v>
      </c>
      <c r="H8" s="17">
        <v>1</v>
      </c>
      <c r="I8" s="17" t="s">
        <v>111</v>
      </c>
      <c r="J8" s="17" t="s">
        <v>122</v>
      </c>
      <c r="K8" s="17" t="s">
        <v>123</v>
      </c>
      <c r="L8" s="17"/>
    </row>
    <row r="9" spans="1:12" x14ac:dyDescent="0.35">
      <c r="A9" s="17" t="s">
        <v>124</v>
      </c>
      <c r="B9" s="17" t="s">
        <v>65</v>
      </c>
      <c r="C9" s="17" t="s">
        <v>125</v>
      </c>
      <c r="D9" s="13">
        <v>46046</v>
      </c>
      <c r="E9" s="17" t="s">
        <v>59</v>
      </c>
      <c r="F9" s="17" t="s">
        <v>110</v>
      </c>
      <c r="G9" s="17">
        <v>600</v>
      </c>
      <c r="H9" s="17">
        <v>1</v>
      </c>
      <c r="I9" s="17" t="s">
        <v>126</v>
      </c>
      <c r="J9" s="17" t="s">
        <v>127</v>
      </c>
      <c r="K9" s="17" t="s">
        <v>128</v>
      </c>
      <c r="L9" s="17"/>
    </row>
    <row r="10" spans="1:12" x14ac:dyDescent="0.35">
      <c r="A10" s="17" t="s">
        <v>129</v>
      </c>
      <c r="B10" s="17" t="s">
        <v>65</v>
      </c>
      <c r="C10" s="17" t="s">
        <v>125</v>
      </c>
      <c r="D10" s="13">
        <v>46046</v>
      </c>
      <c r="E10" s="17" t="s">
        <v>59</v>
      </c>
      <c r="F10" s="17" t="s">
        <v>110</v>
      </c>
      <c r="G10" s="17">
        <v>600</v>
      </c>
      <c r="H10" s="17">
        <v>1</v>
      </c>
      <c r="I10" s="17" t="s">
        <v>126</v>
      </c>
      <c r="J10" s="17" t="s">
        <v>130</v>
      </c>
      <c r="K10" s="17" t="s">
        <v>131</v>
      </c>
      <c r="L10" s="17"/>
    </row>
    <row r="11" spans="1:12" x14ac:dyDescent="0.35">
      <c r="A11" s="17" t="s">
        <v>132</v>
      </c>
      <c r="B11" s="17" t="s">
        <v>65</v>
      </c>
      <c r="C11" s="17" t="s">
        <v>133</v>
      </c>
      <c r="D11" s="13">
        <v>46046</v>
      </c>
      <c r="E11" s="17" t="s">
        <v>59</v>
      </c>
      <c r="F11" s="17" t="s">
        <v>110</v>
      </c>
      <c r="G11" s="17">
        <v>550</v>
      </c>
      <c r="H11" s="17">
        <v>1</v>
      </c>
      <c r="I11" s="17" t="s">
        <v>126</v>
      </c>
      <c r="J11" s="17" t="s">
        <v>134</v>
      </c>
      <c r="K11" s="17" t="s">
        <v>135</v>
      </c>
      <c r="L11" s="17"/>
    </row>
    <row r="12" spans="1:12" x14ac:dyDescent="0.35">
      <c r="A12" s="17" t="s">
        <v>136</v>
      </c>
      <c r="B12" s="17" t="s">
        <v>65</v>
      </c>
      <c r="C12" s="17" t="s">
        <v>133</v>
      </c>
      <c r="D12" s="13">
        <v>46046</v>
      </c>
      <c r="E12" s="17" t="s">
        <v>59</v>
      </c>
      <c r="F12" s="17" t="s">
        <v>110</v>
      </c>
      <c r="G12" s="17">
        <v>600</v>
      </c>
      <c r="H12" s="17">
        <v>1</v>
      </c>
      <c r="I12" s="17" t="s">
        <v>126</v>
      </c>
      <c r="J12" s="17" t="s">
        <v>137</v>
      </c>
      <c r="K12" s="17" t="s">
        <v>138</v>
      </c>
      <c r="L12" s="17"/>
    </row>
    <row r="13" spans="1:12" x14ac:dyDescent="0.35">
      <c r="A13" s="17" t="s">
        <v>139</v>
      </c>
      <c r="B13" s="17" t="s">
        <v>72</v>
      </c>
      <c r="C13" s="17" t="s">
        <v>140</v>
      </c>
      <c r="D13" s="13">
        <v>46095</v>
      </c>
      <c r="E13" s="17" t="s">
        <v>73</v>
      </c>
      <c r="F13" s="17" t="s">
        <v>141</v>
      </c>
      <c r="G13" s="17">
        <v>400</v>
      </c>
      <c r="H13" s="17">
        <v>1.5</v>
      </c>
      <c r="I13" s="17" t="s">
        <v>142</v>
      </c>
      <c r="J13" s="17" t="s">
        <v>143</v>
      </c>
      <c r="K13" s="17" t="s">
        <v>144</v>
      </c>
      <c r="L13" s="17"/>
    </row>
    <row r="14" spans="1:12" x14ac:dyDescent="0.35">
      <c r="A14" s="17" t="s">
        <v>145</v>
      </c>
      <c r="B14" s="17" t="s">
        <v>72</v>
      </c>
      <c r="C14" s="17" t="s">
        <v>140</v>
      </c>
      <c r="D14" s="13">
        <v>46095</v>
      </c>
      <c r="E14" s="17" t="s">
        <v>73</v>
      </c>
      <c r="F14" s="17" t="s">
        <v>141</v>
      </c>
      <c r="G14" s="17">
        <v>400</v>
      </c>
      <c r="H14" s="17">
        <v>1.5</v>
      </c>
      <c r="I14" s="17" t="s">
        <v>142</v>
      </c>
      <c r="J14" s="17" t="s">
        <v>146</v>
      </c>
      <c r="K14" s="17" t="s">
        <v>147</v>
      </c>
      <c r="L14" s="17"/>
    </row>
    <row r="15" spans="1:12" x14ac:dyDescent="0.35">
      <c r="A15" s="17" t="s">
        <v>148</v>
      </c>
      <c r="B15" s="17" t="s">
        <v>72</v>
      </c>
      <c r="C15" s="17" t="s">
        <v>149</v>
      </c>
      <c r="D15" s="13">
        <v>46095</v>
      </c>
      <c r="E15" s="17" t="s">
        <v>73</v>
      </c>
      <c r="F15" s="17" t="s">
        <v>141</v>
      </c>
      <c r="G15" s="17">
        <v>400</v>
      </c>
      <c r="H15" s="17">
        <v>1.5</v>
      </c>
      <c r="I15" s="17" t="s">
        <v>142</v>
      </c>
      <c r="J15" s="17" t="s">
        <v>150</v>
      </c>
      <c r="K15" s="17" t="s">
        <v>151</v>
      </c>
      <c r="L15" s="17"/>
    </row>
    <row r="16" spans="1:12" x14ac:dyDescent="0.35">
      <c r="A16" s="17" t="s">
        <v>152</v>
      </c>
      <c r="B16" s="17" t="s">
        <v>72</v>
      </c>
      <c r="C16" s="17" t="s">
        <v>149</v>
      </c>
      <c r="D16" s="13">
        <v>46095</v>
      </c>
      <c r="E16" s="17" t="s">
        <v>73</v>
      </c>
      <c r="F16" s="17" t="s">
        <v>141</v>
      </c>
      <c r="G16" s="17">
        <v>400</v>
      </c>
      <c r="H16" s="17">
        <v>1.5</v>
      </c>
      <c r="I16" s="17" t="s">
        <v>142</v>
      </c>
      <c r="J16" s="17" t="s">
        <v>153</v>
      </c>
      <c r="K16" s="17" t="s">
        <v>154</v>
      </c>
      <c r="L16" s="17"/>
    </row>
    <row r="17" spans="1:12" x14ac:dyDescent="0.35">
      <c r="A17" s="17"/>
      <c r="B17" s="17"/>
      <c r="C17" s="17"/>
      <c r="D17" s="13"/>
      <c r="E17" s="17"/>
      <c r="F17" s="17"/>
      <c r="G17" s="17"/>
      <c r="H17" s="17"/>
      <c r="I17" s="17"/>
      <c r="J17" s="17"/>
      <c r="K17" s="17"/>
      <c r="L17" s="17"/>
    </row>
    <row r="18" spans="1:12" x14ac:dyDescent="0.35">
      <c r="A18" s="17"/>
      <c r="B18" s="17"/>
      <c r="C18" s="17"/>
      <c r="D18" s="13"/>
      <c r="E18" s="17"/>
      <c r="F18" s="17"/>
      <c r="G18" s="17"/>
      <c r="H18" s="17"/>
      <c r="I18" s="17"/>
      <c r="J18" s="17"/>
      <c r="K18" s="17"/>
      <c r="L18" s="17"/>
    </row>
    <row r="19" spans="1:12" x14ac:dyDescent="0.35">
      <c r="A19" s="17"/>
      <c r="B19" s="17"/>
      <c r="C19" s="17"/>
      <c r="D19" s="13"/>
      <c r="E19" s="17"/>
      <c r="F19" s="17"/>
      <c r="G19" s="17"/>
      <c r="H19" s="17"/>
      <c r="I19" s="17"/>
      <c r="J19" s="17"/>
      <c r="K19" s="17"/>
      <c r="L19" s="17"/>
    </row>
    <row r="20" spans="1:12" x14ac:dyDescent="0.35">
      <c r="A20" s="17"/>
      <c r="B20" s="17"/>
      <c r="C20" s="17"/>
      <c r="D20" s="13"/>
      <c r="E20" s="17"/>
      <c r="F20" s="17"/>
      <c r="G20" s="17"/>
      <c r="H20" s="17"/>
      <c r="I20" s="17"/>
      <c r="J20" s="17"/>
      <c r="K20" s="17"/>
      <c r="L20" s="17"/>
    </row>
    <row r="21" spans="1:12" x14ac:dyDescent="0.35">
      <c r="A21" s="17"/>
      <c r="B21" s="17"/>
      <c r="C21" s="17"/>
      <c r="D21" s="13"/>
      <c r="E21" s="17"/>
      <c r="F21" s="17"/>
      <c r="G21" s="17"/>
      <c r="H21" s="17"/>
      <c r="I21" s="17"/>
      <c r="J21" s="17"/>
      <c r="K21" s="17"/>
      <c r="L21" s="17"/>
    </row>
    <row r="22" spans="1:12" x14ac:dyDescent="0.35">
      <c r="A22" s="17"/>
      <c r="B22" s="17"/>
      <c r="C22" s="17"/>
      <c r="D22" s="13"/>
      <c r="E22" s="17"/>
      <c r="F22" s="17"/>
      <c r="G22" s="17"/>
      <c r="H22" s="17"/>
      <c r="I22" s="17"/>
      <c r="J22" s="17"/>
      <c r="K22" s="17"/>
      <c r="L22" s="17"/>
    </row>
  </sheetData>
  <printOptions horizontalCentered="1"/>
  <pageMargins left="0.4" right="0.4" top="0.5" bottom="0.5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Not on the list" error="Pick a value from the list in Settings." xr:uid="{00000000-0002-0000-0300-000000000000}">
          <x14:formula1>
            <xm:f>Settings!$E$4:$E$6</xm:f>
          </x14:formula1>
          <xm:sqref>B5:B22</xm:sqref>
        </x14:dataValidation>
        <x14:dataValidation type="list" allowBlank="1" showErrorMessage="1" errorTitle="Not on the list" error="Pick a value from the list in Settings." xr:uid="{00000000-0002-0000-0300-000001000000}">
          <x14:formula1>
            <xm:f>Settings!$F$4:$F$7</xm:f>
          </x14:formula1>
          <xm:sqref>E5:E22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8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2" width="8" customWidth="1"/>
    <col min="3" max="3" width="12" customWidth="1"/>
    <col min="4" max="4" width="11" customWidth="1"/>
    <col min="5" max="5" width="18" customWidth="1"/>
    <col min="6" max="7" width="7" customWidth="1"/>
    <col min="8" max="8" width="8" customWidth="1"/>
    <col min="9" max="9" width="16" customWidth="1"/>
    <col min="10" max="10" width="9" customWidth="1"/>
    <col min="11" max="11" width="10" customWidth="1"/>
    <col min="12" max="12" width="26" customWidth="1"/>
    <col min="13" max="13" width="24" customWidth="1"/>
    <col min="14" max="14" width="12" customWidth="1"/>
    <col min="15" max="15" width="9" customWidth="1"/>
    <col min="16" max="16" width="8" customWidth="1"/>
    <col min="17" max="17" width="9" customWidth="1"/>
    <col min="18" max="18" width="10" customWidth="1"/>
    <col min="19" max="19" width="9" customWidth="1"/>
    <col min="20" max="21" width="10" customWidth="1"/>
    <col min="22" max="22" width="12" customWidth="1"/>
    <col min="23" max="23" width="9" customWidth="1"/>
    <col min="24" max="24" width="10" customWidth="1"/>
    <col min="25" max="25" width="40" customWidth="1"/>
    <col min="26" max="26" width="7" customWidth="1"/>
  </cols>
  <sheetData>
    <row r="1" spans="1:26" ht="19.5" x14ac:dyDescent="0.45">
      <c r="A1" s="1" t="s">
        <v>155</v>
      </c>
    </row>
    <row r="2" spans="1:26" x14ac:dyDescent="0.35">
      <c r="A2" s="2" t="s">
        <v>156</v>
      </c>
    </row>
    <row r="4" spans="1:26" ht="44" customHeight="1" x14ac:dyDescent="0.35">
      <c r="A4" s="10" t="s">
        <v>157</v>
      </c>
      <c r="B4" s="10" t="s">
        <v>97</v>
      </c>
      <c r="C4" s="10" t="s">
        <v>158</v>
      </c>
      <c r="D4" s="10" t="s">
        <v>159</v>
      </c>
      <c r="E4" s="10" t="s">
        <v>160</v>
      </c>
      <c r="F4" s="10" t="s">
        <v>161</v>
      </c>
      <c r="G4" s="10" t="s">
        <v>162</v>
      </c>
      <c r="H4" s="10" t="s">
        <v>163</v>
      </c>
      <c r="I4" s="10" t="s">
        <v>164</v>
      </c>
      <c r="J4" s="10" t="s">
        <v>165</v>
      </c>
      <c r="K4" s="10" t="s">
        <v>166</v>
      </c>
      <c r="L4" s="10" t="s">
        <v>107</v>
      </c>
      <c r="M4" s="10" t="s">
        <v>98</v>
      </c>
      <c r="N4" s="10" t="s">
        <v>100</v>
      </c>
      <c r="O4" s="10" t="s">
        <v>167</v>
      </c>
      <c r="P4" s="10" t="s">
        <v>168</v>
      </c>
      <c r="Q4" s="10" t="s">
        <v>102</v>
      </c>
      <c r="R4" s="10" t="s">
        <v>169</v>
      </c>
      <c r="S4" s="10" t="s">
        <v>170</v>
      </c>
      <c r="T4" s="10" t="s">
        <v>171</v>
      </c>
      <c r="U4" s="10" t="s">
        <v>172</v>
      </c>
      <c r="V4" s="10" t="s">
        <v>173</v>
      </c>
      <c r="W4" s="10" t="s">
        <v>174</v>
      </c>
      <c r="X4" s="10" t="s">
        <v>175</v>
      </c>
      <c r="Y4" s="10" t="s">
        <v>176</v>
      </c>
      <c r="Z4" s="10" t="s">
        <v>177</v>
      </c>
    </row>
    <row r="5" spans="1:26" x14ac:dyDescent="0.35">
      <c r="A5" s="17" t="s">
        <v>178</v>
      </c>
      <c r="B5" s="17" t="s">
        <v>108</v>
      </c>
      <c r="C5" s="13">
        <v>45979</v>
      </c>
      <c r="D5" s="17" t="s">
        <v>62</v>
      </c>
      <c r="E5" s="17" t="s">
        <v>61</v>
      </c>
      <c r="F5" s="17">
        <v>455</v>
      </c>
      <c r="G5" s="17">
        <v>30</v>
      </c>
      <c r="H5" s="17">
        <v>15</v>
      </c>
      <c r="I5" s="17" t="s">
        <v>60</v>
      </c>
      <c r="J5" s="17">
        <v>48</v>
      </c>
      <c r="K5" s="17">
        <v>0</v>
      </c>
      <c r="L5" s="17"/>
      <c r="M5" s="12" t="str">
        <f>IF($B5="","",IFERROR(INDEX(Planting_Log!$B$5:$B$60,MATCH($B5,Planting_Log!$A$5:$A$60,0)),""))</f>
        <v>Site A - seaward fringe</v>
      </c>
      <c r="N5" s="18">
        <f>IF($B5="","",IFERROR(INDEX(Planting_Log!$D$5:$D$60,MATCH($B5,Planting_Log!$A$5:$A$60,0)),""))</f>
        <v>45948</v>
      </c>
      <c r="O5" s="12">
        <f t="shared" ref="O5:O36" si="0">IF(OR(N5="",C5=""),"",ROUND((C5-N5)/30.44,1))</f>
        <v>1</v>
      </c>
      <c r="P5" s="12">
        <f t="shared" ref="P5:P36" si="1">IF(O5="","",IF(O5&lt;2,1,IF(O5&lt;4.5,3,IF(O5&lt;7.5,6,IF(O5&lt;10.5,9,12)))))</f>
        <v>1</v>
      </c>
      <c r="Q5" s="12">
        <f>IF($B5="","",IFERROR(INDEX(Planting_Log!$G$5:$G$60,MATCH($B5,Planting_Log!$A$5:$A$60,0)),""))</f>
        <v>500</v>
      </c>
      <c r="R5" s="12">
        <f t="shared" ref="R5:R36" si="2">IF($B5="","",SUMIFS($K$5:$K$200,$B$5:$B$200,$B5,$C$5:$C$200,"&lt;"&amp;$C5))</f>
        <v>0</v>
      </c>
      <c r="S5" s="12">
        <f t="shared" ref="S5:S36" si="3">IF(Q5="","",Q5+R5)</f>
        <v>500</v>
      </c>
      <c r="T5" s="19">
        <f t="shared" ref="T5:T36" si="4">IF(OR(S5="",S5=0),"",F5/S5)</f>
        <v>0.91</v>
      </c>
      <c r="U5" s="19">
        <f t="shared" ref="U5:U36" si="5">IF(OR(Q5="",Q5=0),"",F5/Q5)</f>
        <v>0.91</v>
      </c>
      <c r="V5" s="18" t="str">
        <f t="shared" ref="V5:V36" si="6">IF($B5="","",IF(COUNTIFS($B$5:$B$200,$B5,$C$5:$C$200,"&lt;"&amp;$C5)=0,"",SUMPRODUCT(MAX(($B$5:$B$200=$B5)*($C$5:$C$200&lt;$C5)*$C$5:$C$200))))</f>
        <v/>
      </c>
      <c r="W5" s="12" t="str">
        <f t="shared" ref="W5:W36" si="7">IF(V5="","",SUMIFS($F$5:$F$200,$B$5:$B$200,$B5,$C$5:$C$200,V5))</f>
        <v/>
      </c>
      <c r="X5" s="12">
        <f t="shared" ref="X5:X36" si="8">IF($B5="","",IF(V5="",0,SUMIFS($K$5:$K$200,$B$5:$B$200,$B5,$C$5:$C$200,"&gt;="&amp;V5,$C$5:$C$200,"&lt;"&amp;$C5)))</f>
        <v>0</v>
      </c>
      <c r="Y5" s="20" t="str">
        <f t="shared" ref="Y5:Y36" si="9">IF($B5="","",MID(IF(M5="","; Unknown plot","")&amp;IF(N5="","",IF(C5&lt;N5,"; Visit before planting",""))&amp;IF(S5="","",IF(F5+G5+H5&lt;&gt;S5,"; Count mismatch",""))&amp;IF(W5="","",IF(F5&gt;W5+X5,"; Alive rose without replanting",""))&amp;IF(COUNTIFS($B$5:$B$200,$B5,$C$5:$C$200,$C5)&gt;1,"; Duplicate visit","")&amp;IF(J5="","",IF(OR(J5&lt;HMin,J5&gt;HMax),"; Height out of range",""))&amp;IF(E5="","; No observer","")&amp;IF(G5+H5&gt;0,IF(I5="","; Loss without cause",""),""),3,300))</f>
        <v/>
      </c>
      <c r="Z5" s="12">
        <f t="shared" ref="Z5:Z36" si="10">IF($B5="","",IF(Y5="",0,1+LEN(Y5)-LEN(SUBSTITUTE(Y5,";",""))))</f>
        <v>0</v>
      </c>
    </row>
    <row r="6" spans="1:26" x14ac:dyDescent="0.35">
      <c r="A6" s="17" t="s">
        <v>179</v>
      </c>
      <c r="B6" s="17" t="s">
        <v>108</v>
      </c>
      <c r="C6" s="13">
        <v>46039</v>
      </c>
      <c r="D6" s="17" t="s">
        <v>62</v>
      </c>
      <c r="E6" s="17" t="s">
        <v>61</v>
      </c>
      <c r="F6" s="17">
        <v>360</v>
      </c>
      <c r="G6" s="17">
        <v>90</v>
      </c>
      <c r="H6" s="17">
        <v>50</v>
      </c>
      <c r="I6" s="17" t="s">
        <v>60</v>
      </c>
      <c r="J6" s="17">
        <v>55</v>
      </c>
      <c r="K6" s="17">
        <v>0</v>
      </c>
      <c r="L6" s="17"/>
      <c r="M6" s="12" t="str">
        <f>IF($B6="","",IFERROR(INDEX(Planting_Log!$B$5:$B$60,MATCH($B6,Planting_Log!$A$5:$A$60,0)),""))</f>
        <v>Site A - seaward fringe</v>
      </c>
      <c r="N6" s="18">
        <f>IF($B6="","",IFERROR(INDEX(Planting_Log!$D$5:$D$60,MATCH($B6,Planting_Log!$A$5:$A$60,0)),""))</f>
        <v>45948</v>
      </c>
      <c r="O6" s="12">
        <f t="shared" si="0"/>
        <v>3</v>
      </c>
      <c r="P6" s="12">
        <f t="shared" si="1"/>
        <v>3</v>
      </c>
      <c r="Q6" s="12">
        <f>IF($B6="","",IFERROR(INDEX(Planting_Log!$G$5:$G$60,MATCH($B6,Planting_Log!$A$5:$A$60,0)),""))</f>
        <v>500</v>
      </c>
      <c r="R6" s="12">
        <f t="shared" si="2"/>
        <v>0</v>
      </c>
      <c r="S6" s="12">
        <f t="shared" si="3"/>
        <v>500</v>
      </c>
      <c r="T6" s="19">
        <f t="shared" si="4"/>
        <v>0.72</v>
      </c>
      <c r="U6" s="19">
        <f t="shared" si="5"/>
        <v>0.72</v>
      </c>
      <c r="V6" s="18">
        <f t="shared" si="6"/>
        <v>45979</v>
      </c>
      <c r="W6" s="12">
        <f t="shared" si="7"/>
        <v>455</v>
      </c>
      <c r="X6" s="12">
        <f t="shared" si="8"/>
        <v>0</v>
      </c>
      <c r="Y6" s="20" t="str">
        <f t="shared" si="9"/>
        <v/>
      </c>
      <c r="Z6" s="12">
        <f t="shared" si="10"/>
        <v>0</v>
      </c>
    </row>
    <row r="7" spans="1:26" x14ac:dyDescent="0.35">
      <c r="A7" s="17" t="s">
        <v>180</v>
      </c>
      <c r="B7" s="17" t="s">
        <v>108</v>
      </c>
      <c r="C7" s="13">
        <v>46130</v>
      </c>
      <c r="D7" s="17" t="s">
        <v>62</v>
      </c>
      <c r="E7" s="17" t="s">
        <v>61</v>
      </c>
      <c r="F7" s="17">
        <v>290</v>
      </c>
      <c r="G7" s="17">
        <v>130</v>
      </c>
      <c r="H7" s="17">
        <v>80</v>
      </c>
      <c r="I7" s="17" t="s">
        <v>60</v>
      </c>
      <c r="J7" s="17">
        <v>64</v>
      </c>
      <c r="K7" s="17">
        <v>0</v>
      </c>
      <c r="L7" s="17" t="s">
        <v>181</v>
      </c>
      <c r="M7" s="12" t="str">
        <f>IF($B7="","",IFERROR(INDEX(Planting_Log!$B$5:$B$60,MATCH($B7,Planting_Log!$A$5:$A$60,0)),""))</f>
        <v>Site A - seaward fringe</v>
      </c>
      <c r="N7" s="18">
        <f>IF($B7="","",IFERROR(INDEX(Planting_Log!$D$5:$D$60,MATCH($B7,Planting_Log!$A$5:$A$60,0)),""))</f>
        <v>45948</v>
      </c>
      <c r="O7" s="12">
        <f t="shared" si="0"/>
        <v>6</v>
      </c>
      <c r="P7" s="12">
        <f t="shared" si="1"/>
        <v>6</v>
      </c>
      <c r="Q7" s="12">
        <f>IF($B7="","",IFERROR(INDEX(Planting_Log!$G$5:$G$60,MATCH($B7,Planting_Log!$A$5:$A$60,0)),""))</f>
        <v>500</v>
      </c>
      <c r="R7" s="12">
        <f t="shared" si="2"/>
        <v>0</v>
      </c>
      <c r="S7" s="12">
        <f t="shared" si="3"/>
        <v>500</v>
      </c>
      <c r="T7" s="19">
        <f t="shared" si="4"/>
        <v>0.57999999999999996</v>
      </c>
      <c r="U7" s="19">
        <f t="shared" si="5"/>
        <v>0.57999999999999996</v>
      </c>
      <c r="V7" s="18">
        <f t="shared" si="6"/>
        <v>46039</v>
      </c>
      <c r="W7" s="12">
        <f t="shared" si="7"/>
        <v>360</v>
      </c>
      <c r="X7" s="12">
        <f t="shared" si="8"/>
        <v>0</v>
      </c>
      <c r="Y7" s="20" t="str">
        <f t="shared" si="9"/>
        <v/>
      </c>
      <c r="Z7" s="12">
        <f t="shared" si="10"/>
        <v>0</v>
      </c>
    </row>
    <row r="8" spans="1:26" x14ac:dyDescent="0.35">
      <c r="A8" s="17" t="s">
        <v>182</v>
      </c>
      <c r="B8" s="17" t="s">
        <v>108</v>
      </c>
      <c r="C8" s="13">
        <v>46158</v>
      </c>
      <c r="D8" s="17" t="s">
        <v>69</v>
      </c>
      <c r="E8" s="17" t="s">
        <v>75</v>
      </c>
      <c r="F8" s="17">
        <v>286</v>
      </c>
      <c r="G8" s="17">
        <v>132</v>
      </c>
      <c r="H8" s="17">
        <v>82</v>
      </c>
      <c r="I8" s="17" t="s">
        <v>60</v>
      </c>
      <c r="J8" s="17">
        <v>66</v>
      </c>
      <c r="K8" s="17">
        <v>115</v>
      </c>
      <c r="L8" s="17" t="s">
        <v>183</v>
      </c>
      <c r="M8" s="12" t="str">
        <f>IF($B8="","",IFERROR(INDEX(Planting_Log!$B$5:$B$60,MATCH($B8,Planting_Log!$A$5:$A$60,0)),""))</f>
        <v>Site A - seaward fringe</v>
      </c>
      <c r="N8" s="18">
        <f>IF($B8="","",IFERROR(INDEX(Planting_Log!$D$5:$D$60,MATCH($B8,Planting_Log!$A$5:$A$60,0)),""))</f>
        <v>45948</v>
      </c>
      <c r="O8" s="12">
        <f t="shared" si="0"/>
        <v>6.9</v>
      </c>
      <c r="P8" s="12">
        <f t="shared" si="1"/>
        <v>6</v>
      </c>
      <c r="Q8" s="12">
        <f>IF($B8="","",IFERROR(INDEX(Planting_Log!$G$5:$G$60,MATCH($B8,Planting_Log!$A$5:$A$60,0)),""))</f>
        <v>500</v>
      </c>
      <c r="R8" s="12">
        <f t="shared" si="2"/>
        <v>0</v>
      </c>
      <c r="S8" s="12">
        <f t="shared" si="3"/>
        <v>500</v>
      </c>
      <c r="T8" s="19">
        <f t="shared" si="4"/>
        <v>0.57199999999999995</v>
      </c>
      <c r="U8" s="19">
        <f t="shared" si="5"/>
        <v>0.57199999999999995</v>
      </c>
      <c r="V8" s="18">
        <f t="shared" si="6"/>
        <v>46130</v>
      </c>
      <c r="W8" s="12">
        <f t="shared" si="7"/>
        <v>290</v>
      </c>
      <c r="X8" s="12">
        <f t="shared" si="8"/>
        <v>0</v>
      </c>
      <c r="Y8" s="20" t="str">
        <f t="shared" si="9"/>
        <v/>
      </c>
      <c r="Z8" s="12">
        <f t="shared" si="10"/>
        <v>0</v>
      </c>
    </row>
    <row r="9" spans="1:26" x14ac:dyDescent="0.35">
      <c r="A9" s="17" t="s">
        <v>184</v>
      </c>
      <c r="B9" s="17" t="s">
        <v>114</v>
      </c>
      <c r="C9" s="13">
        <v>45979</v>
      </c>
      <c r="D9" s="17" t="s">
        <v>62</v>
      </c>
      <c r="E9" s="17" t="s">
        <v>61</v>
      </c>
      <c r="F9" s="17">
        <v>440</v>
      </c>
      <c r="G9" s="17">
        <v>40</v>
      </c>
      <c r="H9" s="17">
        <v>20</v>
      </c>
      <c r="I9" s="17" t="s">
        <v>60</v>
      </c>
      <c r="J9" s="17">
        <v>47</v>
      </c>
      <c r="K9" s="17">
        <v>0</v>
      </c>
      <c r="L9" s="17"/>
      <c r="M9" s="12" t="str">
        <f>IF($B9="","",IFERROR(INDEX(Planting_Log!$B$5:$B$60,MATCH($B9,Planting_Log!$A$5:$A$60,0)),""))</f>
        <v>Site A - seaward fringe</v>
      </c>
      <c r="N9" s="18">
        <f>IF($B9="","",IFERROR(INDEX(Planting_Log!$D$5:$D$60,MATCH($B9,Planting_Log!$A$5:$A$60,0)),""))</f>
        <v>45948</v>
      </c>
      <c r="O9" s="12">
        <f t="shared" si="0"/>
        <v>1</v>
      </c>
      <c r="P9" s="12">
        <f t="shared" si="1"/>
        <v>1</v>
      </c>
      <c r="Q9" s="12">
        <f>IF($B9="","",IFERROR(INDEX(Planting_Log!$G$5:$G$60,MATCH($B9,Planting_Log!$A$5:$A$60,0)),""))</f>
        <v>500</v>
      </c>
      <c r="R9" s="12">
        <f t="shared" si="2"/>
        <v>0</v>
      </c>
      <c r="S9" s="12">
        <f t="shared" si="3"/>
        <v>500</v>
      </c>
      <c r="T9" s="19">
        <f t="shared" si="4"/>
        <v>0.88</v>
      </c>
      <c r="U9" s="19">
        <f t="shared" si="5"/>
        <v>0.88</v>
      </c>
      <c r="V9" s="18" t="str">
        <f t="shared" si="6"/>
        <v/>
      </c>
      <c r="W9" s="12" t="str">
        <f t="shared" si="7"/>
        <v/>
      </c>
      <c r="X9" s="12">
        <f t="shared" si="8"/>
        <v>0</v>
      </c>
      <c r="Y9" s="20" t="str">
        <f t="shared" si="9"/>
        <v/>
      </c>
      <c r="Z9" s="12">
        <f t="shared" si="10"/>
        <v>0</v>
      </c>
    </row>
    <row r="10" spans="1:26" x14ac:dyDescent="0.35">
      <c r="A10" s="17" t="s">
        <v>185</v>
      </c>
      <c r="B10" s="17" t="s">
        <v>114</v>
      </c>
      <c r="C10" s="13">
        <v>46039</v>
      </c>
      <c r="D10" s="17" t="s">
        <v>62</v>
      </c>
      <c r="E10" s="17" t="s">
        <v>61</v>
      </c>
      <c r="F10" s="17">
        <v>330</v>
      </c>
      <c r="G10" s="17">
        <v>110</v>
      </c>
      <c r="H10" s="17">
        <v>60</v>
      </c>
      <c r="I10" s="17" t="s">
        <v>67</v>
      </c>
      <c r="J10" s="17">
        <v>54</v>
      </c>
      <c r="K10" s="17">
        <v>0</v>
      </c>
      <c r="L10" s="17"/>
      <c r="M10" s="12" t="str">
        <f>IF($B10="","",IFERROR(INDEX(Planting_Log!$B$5:$B$60,MATCH($B10,Planting_Log!$A$5:$A$60,0)),""))</f>
        <v>Site A - seaward fringe</v>
      </c>
      <c r="N10" s="18">
        <f>IF($B10="","",IFERROR(INDEX(Planting_Log!$D$5:$D$60,MATCH($B10,Planting_Log!$A$5:$A$60,0)),""))</f>
        <v>45948</v>
      </c>
      <c r="O10" s="12">
        <f t="shared" si="0"/>
        <v>3</v>
      </c>
      <c r="P10" s="12">
        <f t="shared" si="1"/>
        <v>3</v>
      </c>
      <c r="Q10" s="12">
        <f>IF($B10="","",IFERROR(INDEX(Planting_Log!$G$5:$G$60,MATCH($B10,Planting_Log!$A$5:$A$60,0)),""))</f>
        <v>500</v>
      </c>
      <c r="R10" s="12">
        <f t="shared" si="2"/>
        <v>0</v>
      </c>
      <c r="S10" s="12">
        <f t="shared" si="3"/>
        <v>500</v>
      </c>
      <c r="T10" s="19">
        <f t="shared" si="4"/>
        <v>0.66</v>
      </c>
      <c r="U10" s="19">
        <f t="shared" si="5"/>
        <v>0.66</v>
      </c>
      <c r="V10" s="18">
        <f t="shared" si="6"/>
        <v>45979</v>
      </c>
      <c r="W10" s="12">
        <f t="shared" si="7"/>
        <v>440</v>
      </c>
      <c r="X10" s="12">
        <f t="shared" si="8"/>
        <v>0</v>
      </c>
      <c r="Y10" s="20" t="str">
        <f t="shared" si="9"/>
        <v/>
      </c>
      <c r="Z10" s="12">
        <f t="shared" si="10"/>
        <v>0</v>
      </c>
    </row>
    <row r="11" spans="1:26" x14ac:dyDescent="0.35">
      <c r="A11" s="17" t="s">
        <v>186</v>
      </c>
      <c r="B11" s="17" t="s">
        <v>114</v>
      </c>
      <c r="C11" s="13">
        <v>46130</v>
      </c>
      <c r="D11" s="17" t="s">
        <v>62</v>
      </c>
      <c r="E11" s="17" t="s">
        <v>61</v>
      </c>
      <c r="F11" s="17">
        <v>245</v>
      </c>
      <c r="G11" s="17">
        <v>150</v>
      </c>
      <c r="H11" s="17">
        <v>105</v>
      </c>
      <c r="I11" s="17" t="s">
        <v>67</v>
      </c>
      <c r="J11" s="17">
        <v>62</v>
      </c>
      <c r="K11" s="17">
        <v>0</v>
      </c>
      <c r="L11" s="17" t="s">
        <v>187</v>
      </c>
      <c r="M11" s="12" t="str">
        <f>IF($B11="","",IFERROR(INDEX(Planting_Log!$B$5:$B$60,MATCH($B11,Planting_Log!$A$5:$A$60,0)),""))</f>
        <v>Site A - seaward fringe</v>
      </c>
      <c r="N11" s="18">
        <f>IF($B11="","",IFERROR(INDEX(Planting_Log!$D$5:$D$60,MATCH($B11,Planting_Log!$A$5:$A$60,0)),""))</f>
        <v>45948</v>
      </c>
      <c r="O11" s="12">
        <f t="shared" si="0"/>
        <v>6</v>
      </c>
      <c r="P11" s="12">
        <f t="shared" si="1"/>
        <v>6</v>
      </c>
      <c r="Q11" s="12">
        <f>IF($B11="","",IFERROR(INDEX(Planting_Log!$G$5:$G$60,MATCH($B11,Planting_Log!$A$5:$A$60,0)),""))</f>
        <v>500</v>
      </c>
      <c r="R11" s="12">
        <f t="shared" si="2"/>
        <v>0</v>
      </c>
      <c r="S11" s="12">
        <f t="shared" si="3"/>
        <v>500</v>
      </c>
      <c r="T11" s="19">
        <f t="shared" si="4"/>
        <v>0.49</v>
      </c>
      <c r="U11" s="19">
        <f t="shared" si="5"/>
        <v>0.49</v>
      </c>
      <c r="V11" s="18">
        <f t="shared" si="6"/>
        <v>46039</v>
      </c>
      <c r="W11" s="12">
        <f t="shared" si="7"/>
        <v>330</v>
      </c>
      <c r="X11" s="12">
        <f t="shared" si="8"/>
        <v>0</v>
      </c>
      <c r="Y11" s="20" t="str">
        <f t="shared" si="9"/>
        <v/>
      </c>
      <c r="Z11" s="12">
        <f t="shared" si="10"/>
        <v>0</v>
      </c>
    </row>
    <row r="12" spans="1:26" x14ac:dyDescent="0.35">
      <c r="A12" s="17" t="s">
        <v>188</v>
      </c>
      <c r="B12" s="17" t="s">
        <v>114</v>
      </c>
      <c r="C12" s="13">
        <v>46158</v>
      </c>
      <c r="D12" s="17" t="s">
        <v>69</v>
      </c>
      <c r="E12" s="17" t="s">
        <v>75</v>
      </c>
      <c r="F12" s="17">
        <v>243</v>
      </c>
      <c r="G12" s="17">
        <v>152</v>
      </c>
      <c r="H12" s="17">
        <v>105</v>
      </c>
      <c r="I12" s="17" t="s">
        <v>67</v>
      </c>
      <c r="J12" s="17">
        <v>63</v>
      </c>
      <c r="K12" s="17">
        <v>157</v>
      </c>
      <c r="L12" s="17" t="s">
        <v>189</v>
      </c>
      <c r="M12" s="12" t="str">
        <f>IF($B12="","",IFERROR(INDEX(Planting_Log!$B$5:$B$60,MATCH($B12,Planting_Log!$A$5:$A$60,0)),""))</f>
        <v>Site A - seaward fringe</v>
      </c>
      <c r="N12" s="18">
        <f>IF($B12="","",IFERROR(INDEX(Planting_Log!$D$5:$D$60,MATCH($B12,Planting_Log!$A$5:$A$60,0)),""))</f>
        <v>45948</v>
      </c>
      <c r="O12" s="12">
        <f t="shared" si="0"/>
        <v>6.9</v>
      </c>
      <c r="P12" s="12">
        <f t="shared" si="1"/>
        <v>6</v>
      </c>
      <c r="Q12" s="12">
        <f>IF($B12="","",IFERROR(INDEX(Planting_Log!$G$5:$G$60,MATCH($B12,Planting_Log!$A$5:$A$60,0)),""))</f>
        <v>500</v>
      </c>
      <c r="R12" s="12">
        <f t="shared" si="2"/>
        <v>0</v>
      </c>
      <c r="S12" s="12">
        <f t="shared" si="3"/>
        <v>500</v>
      </c>
      <c r="T12" s="19">
        <f t="shared" si="4"/>
        <v>0.48599999999999999</v>
      </c>
      <c r="U12" s="19">
        <f t="shared" si="5"/>
        <v>0.48599999999999999</v>
      </c>
      <c r="V12" s="18">
        <f t="shared" si="6"/>
        <v>46130</v>
      </c>
      <c r="W12" s="12">
        <f t="shared" si="7"/>
        <v>245</v>
      </c>
      <c r="X12" s="12">
        <f t="shared" si="8"/>
        <v>0</v>
      </c>
      <c r="Y12" s="20" t="str">
        <f t="shared" si="9"/>
        <v/>
      </c>
      <c r="Z12" s="12">
        <f t="shared" si="10"/>
        <v>0</v>
      </c>
    </row>
    <row r="13" spans="1:26" x14ac:dyDescent="0.35">
      <c r="A13" s="17" t="s">
        <v>190</v>
      </c>
      <c r="B13" s="17" t="s">
        <v>114</v>
      </c>
      <c r="C13" s="13">
        <v>46221</v>
      </c>
      <c r="D13" s="17" t="s">
        <v>76</v>
      </c>
      <c r="E13" s="17" t="s">
        <v>68</v>
      </c>
      <c r="F13" s="17">
        <v>372</v>
      </c>
      <c r="G13" s="17">
        <v>170</v>
      </c>
      <c r="H13" s="17">
        <v>115</v>
      </c>
      <c r="I13" s="17" t="s">
        <v>67</v>
      </c>
      <c r="J13" s="17">
        <v>70</v>
      </c>
      <c r="K13" s="17">
        <v>0</v>
      </c>
      <c r="L13" s="17" t="s">
        <v>191</v>
      </c>
      <c r="M13" s="12" t="str">
        <f>IF($B13="","",IFERROR(INDEX(Planting_Log!$B$5:$B$60,MATCH($B13,Planting_Log!$A$5:$A$60,0)),""))</f>
        <v>Site A - seaward fringe</v>
      </c>
      <c r="N13" s="18">
        <f>IF($B13="","",IFERROR(INDEX(Planting_Log!$D$5:$D$60,MATCH($B13,Planting_Log!$A$5:$A$60,0)),""))</f>
        <v>45948</v>
      </c>
      <c r="O13" s="12">
        <f t="shared" si="0"/>
        <v>9</v>
      </c>
      <c r="P13" s="12">
        <f t="shared" si="1"/>
        <v>9</v>
      </c>
      <c r="Q13" s="12">
        <f>IF($B13="","",IFERROR(INDEX(Planting_Log!$G$5:$G$60,MATCH($B13,Planting_Log!$A$5:$A$60,0)),""))</f>
        <v>500</v>
      </c>
      <c r="R13" s="12">
        <f t="shared" si="2"/>
        <v>157</v>
      </c>
      <c r="S13" s="12">
        <f t="shared" si="3"/>
        <v>657</v>
      </c>
      <c r="T13" s="19">
        <f t="shared" si="4"/>
        <v>0.56621004566210043</v>
      </c>
      <c r="U13" s="19">
        <f t="shared" si="5"/>
        <v>0.74399999999999999</v>
      </c>
      <c r="V13" s="18">
        <f t="shared" si="6"/>
        <v>46158</v>
      </c>
      <c r="W13" s="12">
        <f t="shared" si="7"/>
        <v>243</v>
      </c>
      <c r="X13" s="12">
        <f t="shared" si="8"/>
        <v>157</v>
      </c>
      <c r="Y13" s="20" t="str">
        <f t="shared" si="9"/>
        <v/>
      </c>
      <c r="Z13" s="12">
        <f t="shared" si="10"/>
        <v>0</v>
      </c>
    </row>
    <row r="14" spans="1:26" x14ac:dyDescent="0.35">
      <c r="A14" s="17" t="s">
        <v>192</v>
      </c>
      <c r="B14" s="17" t="s">
        <v>117</v>
      </c>
      <c r="C14" s="13">
        <v>45979</v>
      </c>
      <c r="D14" s="17" t="s">
        <v>62</v>
      </c>
      <c r="E14" s="17" t="s">
        <v>68</v>
      </c>
      <c r="F14" s="17">
        <v>470</v>
      </c>
      <c r="G14" s="17">
        <v>20</v>
      </c>
      <c r="H14" s="17">
        <v>10</v>
      </c>
      <c r="I14" s="17" t="s">
        <v>74</v>
      </c>
      <c r="J14" s="17">
        <v>49</v>
      </c>
      <c r="K14" s="17">
        <v>0</v>
      </c>
      <c r="L14" s="17"/>
      <c r="M14" s="12" t="str">
        <f>IF($B14="","",IFERROR(INDEX(Planting_Log!$B$5:$B$60,MATCH($B14,Planting_Log!$A$5:$A$60,0)),""))</f>
        <v>Site A - seaward fringe</v>
      </c>
      <c r="N14" s="18">
        <f>IF($B14="","",IFERROR(INDEX(Planting_Log!$D$5:$D$60,MATCH($B14,Planting_Log!$A$5:$A$60,0)),""))</f>
        <v>45948</v>
      </c>
      <c r="O14" s="12">
        <f t="shared" si="0"/>
        <v>1</v>
      </c>
      <c r="P14" s="12">
        <f t="shared" si="1"/>
        <v>1</v>
      </c>
      <c r="Q14" s="12">
        <f>IF($B14="","",IFERROR(INDEX(Planting_Log!$G$5:$G$60,MATCH($B14,Planting_Log!$A$5:$A$60,0)),""))</f>
        <v>500</v>
      </c>
      <c r="R14" s="12">
        <f t="shared" si="2"/>
        <v>0</v>
      </c>
      <c r="S14" s="12">
        <f t="shared" si="3"/>
        <v>500</v>
      </c>
      <c r="T14" s="19">
        <f t="shared" si="4"/>
        <v>0.94</v>
      </c>
      <c r="U14" s="19">
        <f t="shared" si="5"/>
        <v>0.94</v>
      </c>
      <c r="V14" s="18" t="str">
        <f t="shared" si="6"/>
        <v/>
      </c>
      <c r="W14" s="12" t="str">
        <f t="shared" si="7"/>
        <v/>
      </c>
      <c r="X14" s="12">
        <f t="shared" si="8"/>
        <v>0</v>
      </c>
      <c r="Y14" s="20" t="str">
        <f t="shared" si="9"/>
        <v/>
      </c>
      <c r="Z14" s="12">
        <f t="shared" si="10"/>
        <v>0</v>
      </c>
    </row>
    <row r="15" spans="1:26" x14ac:dyDescent="0.35">
      <c r="A15" s="17" t="s">
        <v>193</v>
      </c>
      <c r="B15" s="17" t="s">
        <v>117</v>
      </c>
      <c r="C15" s="13">
        <v>46039</v>
      </c>
      <c r="D15" s="17" t="s">
        <v>62</v>
      </c>
      <c r="E15" s="17" t="s">
        <v>68</v>
      </c>
      <c r="F15" s="17">
        <v>410</v>
      </c>
      <c r="G15" s="17">
        <v>60</v>
      </c>
      <c r="H15" s="17">
        <v>50</v>
      </c>
      <c r="I15" s="17" t="s">
        <v>74</v>
      </c>
      <c r="J15" s="17">
        <v>56</v>
      </c>
      <c r="K15" s="17">
        <v>0</v>
      </c>
      <c r="L15" s="17" t="s">
        <v>194</v>
      </c>
      <c r="M15" s="12" t="str">
        <f>IF($B15="","",IFERROR(INDEX(Planting_Log!$B$5:$B$60,MATCH($B15,Planting_Log!$A$5:$A$60,0)),""))</f>
        <v>Site A - seaward fringe</v>
      </c>
      <c r="N15" s="18">
        <f>IF($B15="","",IFERROR(INDEX(Planting_Log!$D$5:$D$60,MATCH($B15,Planting_Log!$A$5:$A$60,0)),""))</f>
        <v>45948</v>
      </c>
      <c r="O15" s="12">
        <f t="shared" si="0"/>
        <v>3</v>
      </c>
      <c r="P15" s="12">
        <f t="shared" si="1"/>
        <v>3</v>
      </c>
      <c r="Q15" s="12">
        <f>IF($B15="","",IFERROR(INDEX(Planting_Log!$G$5:$G$60,MATCH($B15,Planting_Log!$A$5:$A$60,0)),""))</f>
        <v>500</v>
      </c>
      <c r="R15" s="12">
        <f t="shared" si="2"/>
        <v>0</v>
      </c>
      <c r="S15" s="12">
        <f t="shared" si="3"/>
        <v>500</v>
      </c>
      <c r="T15" s="19">
        <f t="shared" si="4"/>
        <v>0.82</v>
      </c>
      <c r="U15" s="19">
        <f t="shared" si="5"/>
        <v>0.82</v>
      </c>
      <c r="V15" s="18">
        <f t="shared" si="6"/>
        <v>45979</v>
      </c>
      <c r="W15" s="12">
        <f t="shared" si="7"/>
        <v>470</v>
      </c>
      <c r="X15" s="12">
        <f t="shared" si="8"/>
        <v>0</v>
      </c>
      <c r="Y15" s="20" t="str">
        <f t="shared" si="9"/>
        <v>Count mismatch</v>
      </c>
      <c r="Z15" s="12">
        <f t="shared" si="10"/>
        <v>1</v>
      </c>
    </row>
    <row r="16" spans="1:26" x14ac:dyDescent="0.35">
      <c r="A16" s="17" t="s">
        <v>195</v>
      </c>
      <c r="B16" s="17" t="s">
        <v>117</v>
      </c>
      <c r="C16" s="13">
        <v>46130</v>
      </c>
      <c r="D16" s="17" t="s">
        <v>62</v>
      </c>
      <c r="E16" s="17" t="s">
        <v>68</v>
      </c>
      <c r="F16" s="17">
        <v>365</v>
      </c>
      <c r="G16" s="17">
        <v>95</v>
      </c>
      <c r="H16" s="17">
        <v>40</v>
      </c>
      <c r="I16" s="17" t="s">
        <v>67</v>
      </c>
      <c r="J16" s="17">
        <v>66</v>
      </c>
      <c r="K16" s="17">
        <v>0</v>
      </c>
      <c r="L16" s="17"/>
      <c r="M16" s="12" t="str">
        <f>IF($B16="","",IFERROR(INDEX(Planting_Log!$B$5:$B$60,MATCH($B16,Planting_Log!$A$5:$A$60,0)),""))</f>
        <v>Site A - seaward fringe</v>
      </c>
      <c r="N16" s="18">
        <f>IF($B16="","",IFERROR(INDEX(Planting_Log!$D$5:$D$60,MATCH($B16,Planting_Log!$A$5:$A$60,0)),""))</f>
        <v>45948</v>
      </c>
      <c r="O16" s="12">
        <f t="shared" si="0"/>
        <v>6</v>
      </c>
      <c r="P16" s="12">
        <f t="shared" si="1"/>
        <v>6</v>
      </c>
      <c r="Q16" s="12">
        <f>IF($B16="","",IFERROR(INDEX(Planting_Log!$G$5:$G$60,MATCH($B16,Planting_Log!$A$5:$A$60,0)),""))</f>
        <v>500</v>
      </c>
      <c r="R16" s="12">
        <f t="shared" si="2"/>
        <v>0</v>
      </c>
      <c r="S16" s="12">
        <f t="shared" si="3"/>
        <v>500</v>
      </c>
      <c r="T16" s="19">
        <f t="shared" si="4"/>
        <v>0.73</v>
      </c>
      <c r="U16" s="19">
        <f t="shared" si="5"/>
        <v>0.73</v>
      </c>
      <c r="V16" s="18">
        <f t="shared" si="6"/>
        <v>46039</v>
      </c>
      <c r="W16" s="12">
        <f t="shared" si="7"/>
        <v>410</v>
      </c>
      <c r="X16" s="12">
        <f t="shared" si="8"/>
        <v>0</v>
      </c>
      <c r="Y16" s="20" t="str">
        <f t="shared" si="9"/>
        <v/>
      </c>
      <c r="Z16" s="12">
        <f t="shared" si="10"/>
        <v>0</v>
      </c>
    </row>
    <row r="17" spans="1:26" x14ac:dyDescent="0.35">
      <c r="A17" s="17" t="s">
        <v>196</v>
      </c>
      <c r="B17" s="17" t="s">
        <v>121</v>
      </c>
      <c r="C17" s="13">
        <v>45980</v>
      </c>
      <c r="D17" s="17" t="s">
        <v>62</v>
      </c>
      <c r="E17" s="17" t="s">
        <v>68</v>
      </c>
      <c r="F17" s="17">
        <v>425</v>
      </c>
      <c r="G17" s="17">
        <v>15</v>
      </c>
      <c r="H17" s="17">
        <v>10</v>
      </c>
      <c r="I17" s="17" t="s">
        <v>60</v>
      </c>
      <c r="J17" s="17">
        <v>48</v>
      </c>
      <c r="K17" s="17">
        <v>0</v>
      </c>
      <c r="L17" s="17"/>
      <c r="M17" s="12" t="str">
        <f>IF($B17="","",IFERROR(INDEX(Planting_Log!$B$5:$B$60,MATCH($B17,Planting_Log!$A$5:$A$60,0)),""))</f>
        <v>Site A - seaward fringe</v>
      </c>
      <c r="N17" s="18">
        <f>IF($B17="","",IFERROR(INDEX(Planting_Log!$D$5:$D$60,MATCH($B17,Planting_Log!$A$5:$A$60,0)),""))</f>
        <v>45949</v>
      </c>
      <c r="O17" s="12">
        <f t="shared" si="0"/>
        <v>1</v>
      </c>
      <c r="P17" s="12">
        <f t="shared" si="1"/>
        <v>1</v>
      </c>
      <c r="Q17" s="12">
        <f>IF($B17="","",IFERROR(INDEX(Planting_Log!$G$5:$G$60,MATCH($B17,Planting_Log!$A$5:$A$60,0)),""))</f>
        <v>450</v>
      </c>
      <c r="R17" s="12">
        <f t="shared" si="2"/>
        <v>0</v>
      </c>
      <c r="S17" s="12">
        <f t="shared" si="3"/>
        <v>450</v>
      </c>
      <c r="T17" s="19">
        <f t="shared" si="4"/>
        <v>0.94444444444444442</v>
      </c>
      <c r="U17" s="19">
        <f t="shared" si="5"/>
        <v>0.94444444444444442</v>
      </c>
      <c r="V17" s="18" t="str">
        <f t="shared" si="6"/>
        <v/>
      </c>
      <c r="W17" s="12" t="str">
        <f t="shared" si="7"/>
        <v/>
      </c>
      <c r="X17" s="12">
        <f t="shared" si="8"/>
        <v>0</v>
      </c>
      <c r="Y17" s="20" t="str">
        <f t="shared" si="9"/>
        <v/>
      </c>
      <c r="Z17" s="12">
        <f t="shared" si="10"/>
        <v>0</v>
      </c>
    </row>
    <row r="18" spans="1:26" x14ac:dyDescent="0.35">
      <c r="A18" s="17" t="s">
        <v>197</v>
      </c>
      <c r="B18" s="17" t="s">
        <v>121</v>
      </c>
      <c r="C18" s="13">
        <v>46039</v>
      </c>
      <c r="D18" s="17" t="s">
        <v>62</v>
      </c>
      <c r="E18" s="17" t="s">
        <v>68</v>
      </c>
      <c r="F18" s="17">
        <v>380</v>
      </c>
      <c r="G18" s="17">
        <v>45</v>
      </c>
      <c r="H18" s="17">
        <v>25</v>
      </c>
      <c r="I18" s="17" t="s">
        <v>60</v>
      </c>
      <c r="J18" s="17">
        <v>55</v>
      </c>
      <c r="K18" s="17">
        <v>0</v>
      </c>
      <c r="L18" s="17"/>
      <c r="M18" s="12" t="str">
        <f>IF($B18="","",IFERROR(INDEX(Planting_Log!$B$5:$B$60,MATCH($B18,Planting_Log!$A$5:$A$60,0)),""))</f>
        <v>Site A - seaward fringe</v>
      </c>
      <c r="N18" s="18">
        <f>IF($B18="","",IFERROR(INDEX(Planting_Log!$D$5:$D$60,MATCH($B18,Planting_Log!$A$5:$A$60,0)),""))</f>
        <v>45949</v>
      </c>
      <c r="O18" s="12">
        <f t="shared" si="0"/>
        <v>3</v>
      </c>
      <c r="P18" s="12">
        <f t="shared" si="1"/>
        <v>3</v>
      </c>
      <c r="Q18" s="12">
        <f>IF($B18="","",IFERROR(INDEX(Planting_Log!$G$5:$G$60,MATCH($B18,Planting_Log!$A$5:$A$60,0)),""))</f>
        <v>450</v>
      </c>
      <c r="R18" s="12">
        <f t="shared" si="2"/>
        <v>0</v>
      </c>
      <c r="S18" s="12">
        <f t="shared" si="3"/>
        <v>450</v>
      </c>
      <c r="T18" s="19">
        <f t="shared" si="4"/>
        <v>0.84444444444444444</v>
      </c>
      <c r="U18" s="19">
        <f t="shared" si="5"/>
        <v>0.84444444444444444</v>
      </c>
      <c r="V18" s="18">
        <f t="shared" si="6"/>
        <v>45980</v>
      </c>
      <c r="W18" s="12">
        <f t="shared" si="7"/>
        <v>425</v>
      </c>
      <c r="X18" s="12">
        <f t="shared" si="8"/>
        <v>0</v>
      </c>
      <c r="Y18" s="20" t="str">
        <f t="shared" si="9"/>
        <v/>
      </c>
      <c r="Z18" s="12">
        <f t="shared" si="10"/>
        <v>0</v>
      </c>
    </row>
    <row r="19" spans="1:26" x14ac:dyDescent="0.35">
      <c r="A19" s="17" t="s">
        <v>198</v>
      </c>
      <c r="B19" s="17" t="s">
        <v>121</v>
      </c>
      <c r="C19" s="13">
        <v>46130</v>
      </c>
      <c r="D19" s="17" t="s">
        <v>62</v>
      </c>
      <c r="E19" s="17" t="s">
        <v>68</v>
      </c>
      <c r="F19" s="17">
        <v>300</v>
      </c>
      <c r="G19" s="17">
        <v>95</v>
      </c>
      <c r="H19" s="17">
        <v>55</v>
      </c>
      <c r="I19" s="17" t="s">
        <v>67</v>
      </c>
      <c r="J19" s="17">
        <v>65</v>
      </c>
      <c r="K19" s="17">
        <v>0</v>
      </c>
      <c r="L19" s="17"/>
      <c r="M19" s="12" t="str">
        <f>IF($B19="","",IFERROR(INDEX(Planting_Log!$B$5:$B$60,MATCH($B19,Planting_Log!$A$5:$A$60,0)),""))</f>
        <v>Site A - seaward fringe</v>
      </c>
      <c r="N19" s="18">
        <f>IF($B19="","",IFERROR(INDEX(Planting_Log!$D$5:$D$60,MATCH($B19,Planting_Log!$A$5:$A$60,0)),""))</f>
        <v>45949</v>
      </c>
      <c r="O19" s="12">
        <f t="shared" si="0"/>
        <v>5.9</v>
      </c>
      <c r="P19" s="12">
        <f t="shared" si="1"/>
        <v>6</v>
      </c>
      <c r="Q19" s="12">
        <f>IF($B19="","",IFERROR(INDEX(Planting_Log!$G$5:$G$60,MATCH($B19,Planting_Log!$A$5:$A$60,0)),""))</f>
        <v>450</v>
      </c>
      <c r="R19" s="12">
        <f t="shared" si="2"/>
        <v>0</v>
      </c>
      <c r="S19" s="12">
        <f t="shared" si="3"/>
        <v>450</v>
      </c>
      <c r="T19" s="19">
        <f t="shared" si="4"/>
        <v>0.66666666666666663</v>
      </c>
      <c r="U19" s="19">
        <f t="shared" si="5"/>
        <v>0.66666666666666663</v>
      </c>
      <c r="V19" s="18">
        <f t="shared" si="6"/>
        <v>46039</v>
      </c>
      <c r="W19" s="12">
        <f t="shared" si="7"/>
        <v>380</v>
      </c>
      <c r="X19" s="12">
        <f t="shared" si="8"/>
        <v>0</v>
      </c>
      <c r="Y19" s="20" t="str">
        <f t="shared" si="9"/>
        <v/>
      </c>
      <c r="Z19" s="12">
        <f t="shared" si="10"/>
        <v>0</v>
      </c>
    </row>
    <row r="20" spans="1:26" x14ac:dyDescent="0.35">
      <c r="A20" s="17" t="s">
        <v>199</v>
      </c>
      <c r="B20" s="17" t="s">
        <v>124</v>
      </c>
      <c r="C20" s="13">
        <v>46077</v>
      </c>
      <c r="D20" s="17" t="s">
        <v>62</v>
      </c>
      <c r="E20" s="17" t="s">
        <v>81</v>
      </c>
      <c r="F20" s="17">
        <v>575</v>
      </c>
      <c r="G20" s="17">
        <v>15</v>
      </c>
      <c r="H20" s="17">
        <v>10</v>
      </c>
      <c r="I20" s="17"/>
      <c r="J20" s="17">
        <v>46</v>
      </c>
      <c r="K20" s="17">
        <v>0</v>
      </c>
      <c r="L20" s="17"/>
      <c r="M20" s="12" t="str">
        <f>IF($B20="","",IFERROR(INDEX(Planting_Log!$B$5:$B$60,MATCH($B20,Planting_Log!$A$5:$A$60,0)),""))</f>
        <v>Site B - pond dyke</v>
      </c>
      <c r="N20" s="18">
        <f>IF($B20="","",IFERROR(INDEX(Planting_Log!$D$5:$D$60,MATCH($B20,Planting_Log!$A$5:$A$60,0)),""))</f>
        <v>46046</v>
      </c>
      <c r="O20" s="12">
        <f t="shared" si="0"/>
        <v>1</v>
      </c>
      <c r="P20" s="12">
        <f t="shared" si="1"/>
        <v>1</v>
      </c>
      <c r="Q20" s="12">
        <f>IF($B20="","",IFERROR(INDEX(Planting_Log!$G$5:$G$60,MATCH($B20,Planting_Log!$A$5:$A$60,0)),""))</f>
        <v>600</v>
      </c>
      <c r="R20" s="12">
        <f t="shared" si="2"/>
        <v>0</v>
      </c>
      <c r="S20" s="12">
        <f t="shared" si="3"/>
        <v>600</v>
      </c>
      <c r="T20" s="19">
        <f t="shared" si="4"/>
        <v>0.95833333333333337</v>
      </c>
      <c r="U20" s="19">
        <f t="shared" si="5"/>
        <v>0.95833333333333337</v>
      </c>
      <c r="V20" s="18" t="str">
        <f t="shared" si="6"/>
        <v/>
      </c>
      <c r="W20" s="12" t="str">
        <f t="shared" si="7"/>
        <v/>
      </c>
      <c r="X20" s="12">
        <f t="shared" si="8"/>
        <v>0</v>
      </c>
      <c r="Y20" s="20" t="str">
        <f t="shared" si="9"/>
        <v>Loss without cause</v>
      </c>
      <c r="Z20" s="12">
        <f t="shared" si="10"/>
        <v>1</v>
      </c>
    </row>
    <row r="21" spans="1:26" x14ac:dyDescent="0.35">
      <c r="A21" s="17" t="s">
        <v>200</v>
      </c>
      <c r="B21" s="17" t="s">
        <v>124</v>
      </c>
      <c r="C21" s="13">
        <v>46137</v>
      </c>
      <c r="D21" s="17" t="s">
        <v>62</v>
      </c>
      <c r="E21" s="17" t="s">
        <v>81</v>
      </c>
      <c r="F21" s="17">
        <v>540</v>
      </c>
      <c r="G21" s="17">
        <v>35</v>
      </c>
      <c r="H21" s="17">
        <v>25</v>
      </c>
      <c r="I21" s="17" t="s">
        <v>80</v>
      </c>
      <c r="J21" s="17">
        <v>52</v>
      </c>
      <c r="K21" s="17">
        <v>0</v>
      </c>
      <c r="L21" s="17"/>
      <c r="M21" s="12" t="str">
        <f>IF($B21="","",IFERROR(INDEX(Planting_Log!$B$5:$B$60,MATCH($B21,Planting_Log!$A$5:$A$60,0)),""))</f>
        <v>Site B - pond dyke</v>
      </c>
      <c r="N21" s="18">
        <f>IF($B21="","",IFERROR(INDEX(Planting_Log!$D$5:$D$60,MATCH($B21,Planting_Log!$A$5:$A$60,0)),""))</f>
        <v>46046</v>
      </c>
      <c r="O21" s="12">
        <f t="shared" si="0"/>
        <v>3</v>
      </c>
      <c r="P21" s="12">
        <f t="shared" si="1"/>
        <v>3</v>
      </c>
      <c r="Q21" s="12">
        <f>IF($B21="","",IFERROR(INDEX(Planting_Log!$G$5:$G$60,MATCH($B21,Planting_Log!$A$5:$A$60,0)),""))</f>
        <v>600</v>
      </c>
      <c r="R21" s="12">
        <f t="shared" si="2"/>
        <v>0</v>
      </c>
      <c r="S21" s="12">
        <f t="shared" si="3"/>
        <v>600</v>
      </c>
      <c r="T21" s="19">
        <f t="shared" si="4"/>
        <v>0.9</v>
      </c>
      <c r="U21" s="19">
        <f t="shared" si="5"/>
        <v>0.9</v>
      </c>
      <c r="V21" s="18">
        <f t="shared" si="6"/>
        <v>46077</v>
      </c>
      <c r="W21" s="12">
        <f t="shared" si="7"/>
        <v>575</v>
      </c>
      <c r="X21" s="12">
        <f t="shared" si="8"/>
        <v>0</v>
      </c>
      <c r="Y21" s="20" t="str">
        <f t="shared" si="9"/>
        <v/>
      </c>
      <c r="Z21" s="12">
        <f t="shared" si="10"/>
        <v>0</v>
      </c>
    </row>
    <row r="22" spans="1:26" x14ac:dyDescent="0.35">
      <c r="A22" s="17" t="s">
        <v>201</v>
      </c>
      <c r="B22" s="17" t="s">
        <v>124</v>
      </c>
      <c r="C22" s="13">
        <v>46228</v>
      </c>
      <c r="D22" s="17" t="s">
        <v>62</v>
      </c>
      <c r="E22" s="17" t="s">
        <v>61</v>
      </c>
      <c r="F22" s="17">
        <v>510</v>
      </c>
      <c r="G22" s="17">
        <v>55</v>
      </c>
      <c r="H22" s="17">
        <v>35</v>
      </c>
      <c r="I22" s="17" t="s">
        <v>80</v>
      </c>
      <c r="J22" s="17">
        <v>63</v>
      </c>
      <c r="K22" s="17">
        <v>0</v>
      </c>
      <c r="L22" s="17"/>
      <c r="M22" s="12" t="str">
        <f>IF($B22="","",IFERROR(INDEX(Planting_Log!$B$5:$B$60,MATCH($B22,Planting_Log!$A$5:$A$60,0)),""))</f>
        <v>Site B - pond dyke</v>
      </c>
      <c r="N22" s="18">
        <f>IF($B22="","",IFERROR(INDEX(Planting_Log!$D$5:$D$60,MATCH($B22,Planting_Log!$A$5:$A$60,0)),""))</f>
        <v>46046</v>
      </c>
      <c r="O22" s="12">
        <f t="shared" si="0"/>
        <v>6</v>
      </c>
      <c r="P22" s="12">
        <f t="shared" si="1"/>
        <v>6</v>
      </c>
      <c r="Q22" s="12">
        <f>IF($B22="","",IFERROR(INDEX(Planting_Log!$G$5:$G$60,MATCH($B22,Planting_Log!$A$5:$A$60,0)),""))</f>
        <v>600</v>
      </c>
      <c r="R22" s="12">
        <f t="shared" si="2"/>
        <v>0</v>
      </c>
      <c r="S22" s="12">
        <f t="shared" si="3"/>
        <v>600</v>
      </c>
      <c r="T22" s="19">
        <f t="shared" si="4"/>
        <v>0.85</v>
      </c>
      <c r="U22" s="19">
        <f t="shared" si="5"/>
        <v>0.85</v>
      </c>
      <c r="V22" s="18">
        <f t="shared" si="6"/>
        <v>46137</v>
      </c>
      <c r="W22" s="12">
        <f t="shared" si="7"/>
        <v>540</v>
      </c>
      <c r="X22" s="12">
        <f t="shared" si="8"/>
        <v>0</v>
      </c>
      <c r="Y22" s="20" t="str">
        <f t="shared" si="9"/>
        <v/>
      </c>
      <c r="Z22" s="12">
        <f t="shared" si="10"/>
        <v>0</v>
      </c>
    </row>
    <row r="23" spans="1:26" x14ac:dyDescent="0.35">
      <c r="A23" s="17" t="s">
        <v>202</v>
      </c>
      <c r="B23" s="17" t="s">
        <v>129</v>
      </c>
      <c r="C23" s="13">
        <v>46077</v>
      </c>
      <c r="D23" s="17" t="s">
        <v>62</v>
      </c>
      <c r="E23" s="17" t="s">
        <v>81</v>
      </c>
      <c r="F23" s="17">
        <v>580</v>
      </c>
      <c r="G23" s="17">
        <v>12</v>
      </c>
      <c r="H23" s="17">
        <v>8</v>
      </c>
      <c r="I23" s="17" t="s">
        <v>80</v>
      </c>
      <c r="J23" s="17">
        <v>47</v>
      </c>
      <c r="K23" s="17">
        <v>0</v>
      </c>
      <c r="L23" s="17"/>
      <c r="M23" s="12" t="str">
        <f>IF($B23="","",IFERROR(INDEX(Planting_Log!$B$5:$B$60,MATCH($B23,Planting_Log!$A$5:$A$60,0)),""))</f>
        <v>Site B - pond dyke</v>
      </c>
      <c r="N23" s="18">
        <f>IF($B23="","",IFERROR(INDEX(Planting_Log!$D$5:$D$60,MATCH($B23,Planting_Log!$A$5:$A$60,0)),""))</f>
        <v>46046</v>
      </c>
      <c r="O23" s="12">
        <f t="shared" si="0"/>
        <v>1</v>
      </c>
      <c r="P23" s="12">
        <f t="shared" si="1"/>
        <v>1</v>
      </c>
      <c r="Q23" s="12">
        <f>IF($B23="","",IFERROR(INDEX(Planting_Log!$G$5:$G$60,MATCH($B23,Planting_Log!$A$5:$A$60,0)),""))</f>
        <v>600</v>
      </c>
      <c r="R23" s="12">
        <f t="shared" si="2"/>
        <v>0</v>
      </c>
      <c r="S23" s="12">
        <f t="shared" si="3"/>
        <v>600</v>
      </c>
      <c r="T23" s="19">
        <f t="shared" si="4"/>
        <v>0.96666666666666667</v>
      </c>
      <c r="U23" s="19">
        <f t="shared" si="5"/>
        <v>0.96666666666666667</v>
      </c>
      <c r="V23" s="18" t="str">
        <f t="shared" si="6"/>
        <v/>
      </c>
      <c r="W23" s="12" t="str">
        <f t="shared" si="7"/>
        <v/>
      </c>
      <c r="X23" s="12">
        <f t="shared" si="8"/>
        <v>0</v>
      </c>
      <c r="Y23" s="20" t="str">
        <f t="shared" si="9"/>
        <v/>
      </c>
      <c r="Z23" s="12">
        <f t="shared" si="10"/>
        <v>0</v>
      </c>
    </row>
    <row r="24" spans="1:26" x14ac:dyDescent="0.35">
      <c r="A24" s="17" t="s">
        <v>203</v>
      </c>
      <c r="B24" s="17" t="s">
        <v>129</v>
      </c>
      <c r="C24" s="13">
        <v>46137</v>
      </c>
      <c r="D24" s="17" t="s">
        <v>62</v>
      </c>
      <c r="E24" s="17" t="s">
        <v>81</v>
      </c>
      <c r="F24" s="17">
        <v>545</v>
      </c>
      <c r="G24" s="17">
        <v>35</v>
      </c>
      <c r="H24" s="17">
        <v>20</v>
      </c>
      <c r="I24" s="17" t="s">
        <v>80</v>
      </c>
      <c r="J24" s="17">
        <v>53</v>
      </c>
      <c r="K24" s="17">
        <v>0</v>
      </c>
      <c r="L24" s="17"/>
      <c r="M24" s="12" t="str">
        <f>IF($B24="","",IFERROR(INDEX(Planting_Log!$B$5:$B$60,MATCH($B24,Planting_Log!$A$5:$A$60,0)),""))</f>
        <v>Site B - pond dyke</v>
      </c>
      <c r="N24" s="18">
        <f>IF($B24="","",IFERROR(INDEX(Planting_Log!$D$5:$D$60,MATCH($B24,Planting_Log!$A$5:$A$60,0)),""))</f>
        <v>46046</v>
      </c>
      <c r="O24" s="12">
        <f t="shared" si="0"/>
        <v>3</v>
      </c>
      <c r="P24" s="12">
        <f t="shared" si="1"/>
        <v>3</v>
      </c>
      <c r="Q24" s="12">
        <f>IF($B24="","",IFERROR(INDEX(Planting_Log!$G$5:$G$60,MATCH($B24,Planting_Log!$A$5:$A$60,0)),""))</f>
        <v>600</v>
      </c>
      <c r="R24" s="12">
        <f t="shared" si="2"/>
        <v>0</v>
      </c>
      <c r="S24" s="12">
        <f t="shared" si="3"/>
        <v>600</v>
      </c>
      <c r="T24" s="19">
        <f t="shared" si="4"/>
        <v>0.90833333333333333</v>
      </c>
      <c r="U24" s="19">
        <f t="shared" si="5"/>
        <v>0.90833333333333333</v>
      </c>
      <c r="V24" s="18">
        <f t="shared" si="6"/>
        <v>46077</v>
      </c>
      <c r="W24" s="12">
        <f t="shared" si="7"/>
        <v>580</v>
      </c>
      <c r="X24" s="12">
        <f t="shared" si="8"/>
        <v>0</v>
      </c>
      <c r="Y24" s="20" t="str">
        <f t="shared" si="9"/>
        <v/>
      </c>
      <c r="Z24" s="12">
        <f t="shared" si="10"/>
        <v>0</v>
      </c>
    </row>
    <row r="25" spans="1:26" x14ac:dyDescent="0.35">
      <c r="A25" s="17" t="s">
        <v>204</v>
      </c>
      <c r="B25" s="17" t="s">
        <v>129</v>
      </c>
      <c r="C25" s="13">
        <v>46228</v>
      </c>
      <c r="D25" s="17" t="s">
        <v>62</v>
      </c>
      <c r="E25" s="17" t="s">
        <v>61</v>
      </c>
      <c r="F25" s="17">
        <v>562</v>
      </c>
      <c r="G25" s="17">
        <v>23</v>
      </c>
      <c r="H25" s="17">
        <v>15</v>
      </c>
      <c r="I25" s="17" t="s">
        <v>80</v>
      </c>
      <c r="J25" s="17">
        <v>62</v>
      </c>
      <c r="K25" s="17">
        <v>0</v>
      </c>
      <c r="L25" s="17"/>
      <c r="M25" s="12" t="str">
        <f>IF($B25="","",IFERROR(INDEX(Planting_Log!$B$5:$B$60,MATCH($B25,Planting_Log!$A$5:$A$60,0)),""))</f>
        <v>Site B - pond dyke</v>
      </c>
      <c r="N25" s="18">
        <f>IF($B25="","",IFERROR(INDEX(Planting_Log!$D$5:$D$60,MATCH($B25,Planting_Log!$A$5:$A$60,0)),""))</f>
        <v>46046</v>
      </c>
      <c r="O25" s="12">
        <f t="shared" si="0"/>
        <v>6</v>
      </c>
      <c r="P25" s="12">
        <f t="shared" si="1"/>
        <v>6</v>
      </c>
      <c r="Q25" s="12">
        <f>IF($B25="","",IFERROR(INDEX(Planting_Log!$G$5:$G$60,MATCH($B25,Planting_Log!$A$5:$A$60,0)),""))</f>
        <v>600</v>
      </c>
      <c r="R25" s="12">
        <f t="shared" si="2"/>
        <v>0</v>
      </c>
      <c r="S25" s="12">
        <f t="shared" si="3"/>
        <v>600</v>
      </c>
      <c r="T25" s="19">
        <f t="shared" si="4"/>
        <v>0.93666666666666665</v>
      </c>
      <c r="U25" s="19">
        <f t="shared" si="5"/>
        <v>0.93666666666666665</v>
      </c>
      <c r="V25" s="18">
        <f t="shared" si="6"/>
        <v>46137</v>
      </c>
      <c r="W25" s="12">
        <f t="shared" si="7"/>
        <v>545</v>
      </c>
      <c r="X25" s="12">
        <f t="shared" si="8"/>
        <v>0</v>
      </c>
      <c r="Y25" s="20" t="str">
        <f t="shared" si="9"/>
        <v>Alive rose without replanting</v>
      </c>
      <c r="Z25" s="12">
        <f t="shared" si="10"/>
        <v>1</v>
      </c>
    </row>
    <row r="26" spans="1:26" x14ac:dyDescent="0.35">
      <c r="A26" s="17" t="s">
        <v>205</v>
      </c>
      <c r="B26" s="17" t="s">
        <v>132</v>
      </c>
      <c r="C26" s="13">
        <v>46077</v>
      </c>
      <c r="D26" s="17" t="s">
        <v>62</v>
      </c>
      <c r="E26" s="17" t="s">
        <v>81</v>
      </c>
      <c r="F26" s="17">
        <v>520</v>
      </c>
      <c r="G26" s="17">
        <v>20</v>
      </c>
      <c r="H26" s="17">
        <v>10</v>
      </c>
      <c r="I26" s="17" t="s">
        <v>74</v>
      </c>
      <c r="J26" s="17">
        <v>45</v>
      </c>
      <c r="K26" s="17">
        <v>0</v>
      </c>
      <c r="L26" s="17"/>
      <c r="M26" s="12" t="str">
        <f>IF($B26="","",IFERROR(INDEX(Planting_Log!$B$5:$B$60,MATCH($B26,Planting_Log!$A$5:$A$60,0)),""))</f>
        <v>Site B - pond dyke</v>
      </c>
      <c r="N26" s="18">
        <f>IF($B26="","",IFERROR(INDEX(Planting_Log!$D$5:$D$60,MATCH($B26,Planting_Log!$A$5:$A$60,0)),""))</f>
        <v>46046</v>
      </c>
      <c r="O26" s="12">
        <f t="shared" si="0"/>
        <v>1</v>
      </c>
      <c r="P26" s="12">
        <f t="shared" si="1"/>
        <v>1</v>
      </c>
      <c r="Q26" s="12">
        <f>IF($B26="","",IFERROR(INDEX(Planting_Log!$G$5:$G$60,MATCH($B26,Planting_Log!$A$5:$A$60,0)),""))</f>
        <v>550</v>
      </c>
      <c r="R26" s="12">
        <f t="shared" si="2"/>
        <v>0</v>
      </c>
      <c r="S26" s="12">
        <f t="shared" si="3"/>
        <v>550</v>
      </c>
      <c r="T26" s="19">
        <f t="shared" si="4"/>
        <v>0.94545454545454544</v>
      </c>
      <c r="U26" s="19">
        <f t="shared" si="5"/>
        <v>0.94545454545454544</v>
      </c>
      <c r="V26" s="18" t="str">
        <f t="shared" si="6"/>
        <v/>
      </c>
      <c r="W26" s="12" t="str">
        <f t="shared" si="7"/>
        <v/>
      </c>
      <c r="X26" s="12">
        <f t="shared" si="8"/>
        <v>0</v>
      </c>
      <c r="Y26" s="20" t="str">
        <f t="shared" si="9"/>
        <v/>
      </c>
      <c r="Z26" s="12">
        <f t="shared" si="10"/>
        <v>0</v>
      </c>
    </row>
    <row r="27" spans="1:26" x14ac:dyDescent="0.35">
      <c r="A27" s="17" t="s">
        <v>206</v>
      </c>
      <c r="B27" s="17" t="s">
        <v>207</v>
      </c>
      <c r="C27" s="13">
        <v>46137</v>
      </c>
      <c r="D27" s="17" t="s">
        <v>62</v>
      </c>
      <c r="E27" s="17" t="s">
        <v>81</v>
      </c>
      <c r="F27" s="17">
        <v>455</v>
      </c>
      <c r="G27" s="17">
        <v>60</v>
      </c>
      <c r="H27" s="17">
        <v>35</v>
      </c>
      <c r="I27" s="17" t="s">
        <v>74</v>
      </c>
      <c r="J27" s="17">
        <v>51</v>
      </c>
      <c r="K27" s="17">
        <v>0</v>
      </c>
      <c r="L27" s="17"/>
      <c r="M27" s="12" t="str">
        <f>IF($B27="","",IFERROR(INDEX(Planting_Log!$B$5:$B$60,MATCH($B27,Planting_Log!$A$5:$A$60,0)),""))</f>
        <v/>
      </c>
      <c r="N27" s="18" t="str">
        <f>IF($B27="","",IFERROR(INDEX(Planting_Log!$D$5:$D$60,MATCH($B27,Planting_Log!$A$5:$A$60,0)),""))</f>
        <v/>
      </c>
      <c r="O27" s="12" t="str">
        <f t="shared" si="0"/>
        <v/>
      </c>
      <c r="P27" s="12" t="str">
        <f t="shared" si="1"/>
        <v/>
      </c>
      <c r="Q27" s="12" t="str">
        <f>IF($B27="","",IFERROR(INDEX(Planting_Log!$G$5:$G$60,MATCH($B27,Planting_Log!$A$5:$A$60,0)),""))</f>
        <v/>
      </c>
      <c r="R27" s="12">
        <f t="shared" si="2"/>
        <v>0</v>
      </c>
      <c r="S27" s="12" t="str">
        <f t="shared" si="3"/>
        <v/>
      </c>
      <c r="T27" s="19" t="str">
        <f t="shared" si="4"/>
        <v/>
      </c>
      <c r="U27" s="19" t="str">
        <f t="shared" si="5"/>
        <v/>
      </c>
      <c r="V27" s="18" t="str">
        <f t="shared" si="6"/>
        <v/>
      </c>
      <c r="W27" s="12" t="str">
        <f t="shared" si="7"/>
        <v/>
      </c>
      <c r="X27" s="12">
        <f t="shared" si="8"/>
        <v>0</v>
      </c>
      <c r="Y27" s="20" t="str">
        <f t="shared" si="9"/>
        <v>Unknown plot</v>
      </c>
      <c r="Z27" s="12">
        <f t="shared" si="10"/>
        <v>1</v>
      </c>
    </row>
    <row r="28" spans="1:26" x14ac:dyDescent="0.35">
      <c r="A28" s="17" t="s">
        <v>208</v>
      </c>
      <c r="B28" s="17" t="s">
        <v>132</v>
      </c>
      <c r="C28" s="13">
        <v>46228</v>
      </c>
      <c r="D28" s="17" t="s">
        <v>62</v>
      </c>
      <c r="E28" s="17" t="s">
        <v>61</v>
      </c>
      <c r="F28" s="17">
        <v>365</v>
      </c>
      <c r="G28" s="17">
        <v>115</v>
      </c>
      <c r="H28" s="17">
        <v>70</v>
      </c>
      <c r="I28" s="17" t="s">
        <v>74</v>
      </c>
      <c r="J28" s="17">
        <v>58</v>
      </c>
      <c r="K28" s="17">
        <v>0</v>
      </c>
      <c r="L28" s="17" t="s">
        <v>209</v>
      </c>
      <c r="M28" s="12" t="str">
        <f>IF($B28="","",IFERROR(INDEX(Planting_Log!$B$5:$B$60,MATCH($B28,Planting_Log!$A$5:$A$60,0)),""))</f>
        <v>Site B - pond dyke</v>
      </c>
      <c r="N28" s="18">
        <f>IF($B28="","",IFERROR(INDEX(Planting_Log!$D$5:$D$60,MATCH($B28,Planting_Log!$A$5:$A$60,0)),""))</f>
        <v>46046</v>
      </c>
      <c r="O28" s="12">
        <f t="shared" si="0"/>
        <v>6</v>
      </c>
      <c r="P28" s="12">
        <f t="shared" si="1"/>
        <v>6</v>
      </c>
      <c r="Q28" s="12">
        <f>IF($B28="","",IFERROR(INDEX(Planting_Log!$G$5:$G$60,MATCH($B28,Planting_Log!$A$5:$A$60,0)),""))</f>
        <v>550</v>
      </c>
      <c r="R28" s="12">
        <f t="shared" si="2"/>
        <v>0</v>
      </c>
      <c r="S28" s="12">
        <f t="shared" si="3"/>
        <v>550</v>
      </c>
      <c r="T28" s="19">
        <f t="shared" si="4"/>
        <v>0.66363636363636369</v>
      </c>
      <c r="U28" s="19">
        <f t="shared" si="5"/>
        <v>0.66363636363636369</v>
      </c>
      <c r="V28" s="18">
        <f t="shared" si="6"/>
        <v>46077</v>
      </c>
      <c r="W28" s="12">
        <f t="shared" si="7"/>
        <v>520</v>
      </c>
      <c r="X28" s="12">
        <f t="shared" si="8"/>
        <v>0</v>
      </c>
      <c r="Y28" s="20" t="str">
        <f t="shared" si="9"/>
        <v/>
      </c>
      <c r="Z28" s="12">
        <f t="shared" si="10"/>
        <v>0</v>
      </c>
    </row>
    <row r="29" spans="1:26" x14ac:dyDescent="0.35">
      <c r="A29" s="17" t="s">
        <v>210</v>
      </c>
      <c r="B29" s="17" t="s">
        <v>136</v>
      </c>
      <c r="C29" s="13">
        <v>46077</v>
      </c>
      <c r="D29" s="17" t="s">
        <v>62</v>
      </c>
      <c r="E29" s="17" t="s">
        <v>81</v>
      </c>
      <c r="F29" s="17">
        <v>585</v>
      </c>
      <c r="G29" s="17">
        <v>10</v>
      </c>
      <c r="H29" s="17">
        <v>5</v>
      </c>
      <c r="I29" s="17" t="s">
        <v>80</v>
      </c>
      <c r="J29" s="17">
        <v>46</v>
      </c>
      <c r="K29" s="17">
        <v>0</v>
      </c>
      <c r="L29" s="17"/>
      <c r="M29" s="12" t="str">
        <f>IF($B29="","",IFERROR(INDEX(Planting_Log!$B$5:$B$60,MATCH($B29,Planting_Log!$A$5:$A$60,0)),""))</f>
        <v>Site B - pond dyke</v>
      </c>
      <c r="N29" s="18">
        <f>IF($B29="","",IFERROR(INDEX(Planting_Log!$D$5:$D$60,MATCH($B29,Planting_Log!$A$5:$A$60,0)),""))</f>
        <v>46046</v>
      </c>
      <c r="O29" s="12">
        <f t="shared" si="0"/>
        <v>1</v>
      </c>
      <c r="P29" s="12">
        <f t="shared" si="1"/>
        <v>1</v>
      </c>
      <c r="Q29" s="12">
        <f>IF($B29="","",IFERROR(INDEX(Planting_Log!$G$5:$G$60,MATCH($B29,Planting_Log!$A$5:$A$60,0)),""))</f>
        <v>600</v>
      </c>
      <c r="R29" s="12">
        <f t="shared" si="2"/>
        <v>0</v>
      </c>
      <c r="S29" s="12">
        <f t="shared" si="3"/>
        <v>600</v>
      </c>
      <c r="T29" s="19">
        <f t="shared" si="4"/>
        <v>0.97499999999999998</v>
      </c>
      <c r="U29" s="19">
        <f t="shared" si="5"/>
        <v>0.97499999999999998</v>
      </c>
      <c r="V29" s="18" t="str">
        <f t="shared" si="6"/>
        <v/>
      </c>
      <c r="W29" s="12" t="str">
        <f t="shared" si="7"/>
        <v/>
      </c>
      <c r="X29" s="12">
        <f t="shared" si="8"/>
        <v>0</v>
      </c>
      <c r="Y29" s="20" t="str">
        <f t="shared" si="9"/>
        <v/>
      </c>
      <c r="Z29" s="12">
        <f t="shared" si="10"/>
        <v>0</v>
      </c>
    </row>
    <row r="30" spans="1:26" x14ac:dyDescent="0.35">
      <c r="A30" s="17" t="s">
        <v>211</v>
      </c>
      <c r="B30" s="17" t="s">
        <v>136</v>
      </c>
      <c r="C30" s="13">
        <v>46137</v>
      </c>
      <c r="D30" s="17" t="s">
        <v>62</v>
      </c>
      <c r="E30" s="17" t="s">
        <v>81</v>
      </c>
      <c r="F30" s="17">
        <v>560</v>
      </c>
      <c r="G30" s="17">
        <v>25</v>
      </c>
      <c r="H30" s="17">
        <v>15</v>
      </c>
      <c r="I30" s="17" t="s">
        <v>80</v>
      </c>
      <c r="J30" s="17">
        <v>850</v>
      </c>
      <c r="K30" s="17">
        <v>0</v>
      </c>
      <c r="L30" s="17"/>
      <c r="M30" s="12" t="str">
        <f>IF($B30="","",IFERROR(INDEX(Planting_Log!$B$5:$B$60,MATCH($B30,Planting_Log!$A$5:$A$60,0)),""))</f>
        <v>Site B - pond dyke</v>
      </c>
      <c r="N30" s="18">
        <f>IF($B30="","",IFERROR(INDEX(Planting_Log!$D$5:$D$60,MATCH($B30,Planting_Log!$A$5:$A$60,0)),""))</f>
        <v>46046</v>
      </c>
      <c r="O30" s="12">
        <f t="shared" si="0"/>
        <v>3</v>
      </c>
      <c r="P30" s="12">
        <f t="shared" si="1"/>
        <v>3</v>
      </c>
      <c r="Q30" s="12">
        <f>IF($B30="","",IFERROR(INDEX(Planting_Log!$G$5:$G$60,MATCH($B30,Planting_Log!$A$5:$A$60,0)),""))</f>
        <v>600</v>
      </c>
      <c r="R30" s="12">
        <f t="shared" si="2"/>
        <v>0</v>
      </c>
      <c r="S30" s="12">
        <f t="shared" si="3"/>
        <v>600</v>
      </c>
      <c r="T30" s="19">
        <f t="shared" si="4"/>
        <v>0.93333333333333335</v>
      </c>
      <c r="U30" s="19">
        <f t="shared" si="5"/>
        <v>0.93333333333333335</v>
      </c>
      <c r="V30" s="18">
        <f t="shared" si="6"/>
        <v>46077</v>
      </c>
      <c r="W30" s="12">
        <f t="shared" si="7"/>
        <v>585</v>
      </c>
      <c r="X30" s="12">
        <f t="shared" si="8"/>
        <v>0</v>
      </c>
      <c r="Y30" s="20" t="str">
        <f t="shared" si="9"/>
        <v>Height out of range</v>
      </c>
      <c r="Z30" s="12">
        <f t="shared" si="10"/>
        <v>1</v>
      </c>
    </row>
    <row r="31" spans="1:26" x14ac:dyDescent="0.35">
      <c r="A31" s="17" t="s">
        <v>212</v>
      </c>
      <c r="B31" s="17" t="s">
        <v>136</v>
      </c>
      <c r="C31" s="13">
        <v>46228</v>
      </c>
      <c r="D31" s="17" t="s">
        <v>62</v>
      </c>
      <c r="E31" s="17" t="s">
        <v>61</v>
      </c>
      <c r="F31" s="17">
        <v>535</v>
      </c>
      <c r="G31" s="17">
        <v>40</v>
      </c>
      <c r="H31" s="17">
        <v>25</v>
      </c>
      <c r="I31" s="17" t="s">
        <v>80</v>
      </c>
      <c r="J31" s="17">
        <v>63</v>
      </c>
      <c r="K31" s="17">
        <v>0</v>
      </c>
      <c r="L31" s="17"/>
      <c r="M31" s="12" t="str">
        <f>IF($B31="","",IFERROR(INDEX(Planting_Log!$B$5:$B$60,MATCH($B31,Planting_Log!$A$5:$A$60,0)),""))</f>
        <v>Site B - pond dyke</v>
      </c>
      <c r="N31" s="18">
        <f>IF($B31="","",IFERROR(INDEX(Planting_Log!$D$5:$D$60,MATCH($B31,Planting_Log!$A$5:$A$60,0)),""))</f>
        <v>46046</v>
      </c>
      <c r="O31" s="12">
        <f t="shared" si="0"/>
        <v>6</v>
      </c>
      <c r="P31" s="12">
        <f t="shared" si="1"/>
        <v>6</v>
      </c>
      <c r="Q31" s="12">
        <f>IF($B31="","",IFERROR(INDEX(Planting_Log!$G$5:$G$60,MATCH($B31,Planting_Log!$A$5:$A$60,0)),""))</f>
        <v>600</v>
      </c>
      <c r="R31" s="12">
        <f t="shared" si="2"/>
        <v>0</v>
      </c>
      <c r="S31" s="12">
        <f t="shared" si="3"/>
        <v>600</v>
      </c>
      <c r="T31" s="19">
        <f t="shared" si="4"/>
        <v>0.89166666666666672</v>
      </c>
      <c r="U31" s="19">
        <f t="shared" si="5"/>
        <v>0.89166666666666672</v>
      </c>
      <c r="V31" s="18">
        <f t="shared" si="6"/>
        <v>46137</v>
      </c>
      <c r="W31" s="12">
        <f t="shared" si="7"/>
        <v>560</v>
      </c>
      <c r="X31" s="12">
        <f t="shared" si="8"/>
        <v>0</v>
      </c>
      <c r="Y31" s="20" t="str">
        <f t="shared" si="9"/>
        <v/>
      </c>
      <c r="Z31" s="12">
        <f t="shared" si="10"/>
        <v>0</v>
      </c>
    </row>
    <row r="32" spans="1:26" x14ac:dyDescent="0.35">
      <c r="A32" s="17" t="s">
        <v>213</v>
      </c>
      <c r="B32" s="17" t="s">
        <v>139</v>
      </c>
      <c r="C32" s="13">
        <v>45761</v>
      </c>
      <c r="D32" s="17" t="s">
        <v>62</v>
      </c>
      <c r="E32" s="17" t="s">
        <v>85</v>
      </c>
      <c r="F32" s="17">
        <v>388</v>
      </c>
      <c r="G32" s="17">
        <v>8</v>
      </c>
      <c r="H32" s="17">
        <v>4</v>
      </c>
      <c r="I32" s="17" t="s">
        <v>88</v>
      </c>
      <c r="J32" s="17">
        <v>30</v>
      </c>
      <c r="K32" s="17">
        <v>0</v>
      </c>
      <c r="L32" s="17"/>
      <c r="M32" s="12" t="str">
        <f>IF($B32="","",IFERROR(INDEX(Planting_Log!$B$5:$B$60,MATCH($B32,Planting_Log!$A$5:$A$60,0)),""))</f>
        <v>Site C - sheltered lagoon</v>
      </c>
      <c r="N32" s="18">
        <f>IF($B32="","",IFERROR(INDEX(Planting_Log!$D$5:$D$60,MATCH($B32,Planting_Log!$A$5:$A$60,0)),""))</f>
        <v>46095</v>
      </c>
      <c r="O32" s="12">
        <f t="shared" si="0"/>
        <v>-11</v>
      </c>
      <c r="P32" s="12">
        <f t="shared" si="1"/>
        <v>1</v>
      </c>
      <c r="Q32" s="12">
        <f>IF($B32="","",IFERROR(INDEX(Planting_Log!$G$5:$G$60,MATCH($B32,Planting_Log!$A$5:$A$60,0)),""))</f>
        <v>400</v>
      </c>
      <c r="R32" s="12">
        <f t="shared" si="2"/>
        <v>0</v>
      </c>
      <c r="S32" s="12">
        <f t="shared" si="3"/>
        <v>400</v>
      </c>
      <c r="T32" s="19">
        <f t="shared" si="4"/>
        <v>0.97</v>
      </c>
      <c r="U32" s="19">
        <f t="shared" si="5"/>
        <v>0.97</v>
      </c>
      <c r="V32" s="18" t="str">
        <f t="shared" si="6"/>
        <v/>
      </c>
      <c r="W32" s="12" t="str">
        <f t="shared" si="7"/>
        <v/>
      </c>
      <c r="X32" s="12">
        <f t="shared" si="8"/>
        <v>0</v>
      </c>
      <c r="Y32" s="20" t="str">
        <f t="shared" si="9"/>
        <v>Visit before planting</v>
      </c>
      <c r="Z32" s="12">
        <f t="shared" si="10"/>
        <v>1</v>
      </c>
    </row>
    <row r="33" spans="1:26" x14ac:dyDescent="0.35">
      <c r="A33" s="17" t="s">
        <v>214</v>
      </c>
      <c r="B33" s="17" t="s">
        <v>139</v>
      </c>
      <c r="C33" s="13">
        <v>46186</v>
      </c>
      <c r="D33" s="17" t="s">
        <v>62</v>
      </c>
      <c r="E33" s="17" t="s">
        <v>85</v>
      </c>
      <c r="F33" s="17">
        <v>365</v>
      </c>
      <c r="G33" s="17">
        <v>22</v>
      </c>
      <c r="H33" s="17">
        <v>13</v>
      </c>
      <c r="I33" s="17" t="s">
        <v>88</v>
      </c>
      <c r="J33" s="17">
        <v>38</v>
      </c>
      <c r="K33" s="17">
        <v>0</v>
      </c>
      <c r="L33" s="17"/>
      <c r="M33" s="12" t="str">
        <f>IF($B33="","",IFERROR(INDEX(Planting_Log!$B$5:$B$60,MATCH($B33,Planting_Log!$A$5:$A$60,0)),""))</f>
        <v>Site C - sheltered lagoon</v>
      </c>
      <c r="N33" s="18">
        <f>IF($B33="","",IFERROR(INDEX(Planting_Log!$D$5:$D$60,MATCH($B33,Planting_Log!$A$5:$A$60,0)),""))</f>
        <v>46095</v>
      </c>
      <c r="O33" s="12">
        <f t="shared" si="0"/>
        <v>3</v>
      </c>
      <c r="P33" s="12">
        <f t="shared" si="1"/>
        <v>3</v>
      </c>
      <c r="Q33" s="12">
        <f>IF($B33="","",IFERROR(INDEX(Planting_Log!$G$5:$G$60,MATCH($B33,Planting_Log!$A$5:$A$60,0)),""))</f>
        <v>400</v>
      </c>
      <c r="R33" s="12">
        <f t="shared" si="2"/>
        <v>0</v>
      </c>
      <c r="S33" s="12">
        <f t="shared" si="3"/>
        <v>400</v>
      </c>
      <c r="T33" s="19">
        <f t="shared" si="4"/>
        <v>0.91249999999999998</v>
      </c>
      <c r="U33" s="19">
        <f t="shared" si="5"/>
        <v>0.91249999999999998</v>
      </c>
      <c r="V33" s="18">
        <f t="shared" si="6"/>
        <v>45761</v>
      </c>
      <c r="W33" s="12">
        <f t="shared" si="7"/>
        <v>388</v>
      </c>
      <c r="X33" s="12">
        <f t="shared" si="8"/>
        <v>0</v>
      </c>
      <c r="Y33" s="20" t="str">
        <f t="shared" si="9"/>
        <v/>
      </c>
      <c r="Z33" s="12">
        <f t="shared" si="10"/>
        <v>0</v>
      </c>
    </row>
    <row r="34" spans="1:26" x14ac:dyDescent="0.35">
      <c r="A34" s="17" t="s">
        <v>215</v>
      </c>
      <c r="B34" s="17" t="s">
        <v>139</v>
      </c>
      <c r="C34" s="13">
        <v>46277</v>
      </c>
      <c r="D34" s="17" t="s">
        <v>62</v>
      </c>
      <c r="E34" s="17" t="s">
        <v>68</v>
      </c>
      <c r="F34" s="17">
        <v>340</v>
      </c>
      <c r="G34" s="17">
        <v>38</v>
      </c>
      <c r="H34" s="17">
        <v>22</v>
      </c>
      <c r="I34" s="17" t="s">
        <v>88</v>
      </c>
      <c r="J34" s="17">
        <v>50</v>
      </c>
      <c r="K34" s="17">
        <v>0</v>
      </c>
      <c r="L34" s="17" t="s">
        <v>216</v>
      </c>
      <c r="M34" s="12" t="str">
        <f>IF($B34="","",IFERROR(INDEX(Planting_Log!$B$5:$B$60,MATCH($B34,Planting_Log!$A$5:$A$60,0)),""))</f>
        <v>Site C - sheltered lagoon</v>
      </c>
      <c r="N34" s="18">
        <f>IF($B34="","",IFERROR(INDEX(Planting_Log!$D$5:$D$60,MATCH($B34,Planting_Log!$A$5:$A$60,0)),""))</f>
        <v>46095</v>
      </c>
      <c r="O34" s="12">
        <f t="shared" si="0"/>
        <v>6</v>
      </c>
      <c r="P34" s="12">
        <f t="shared" si="1"/>
        <v>6</v>
      </c>
      <c r="Q34" s="12">
        <f>IF($B34="","",IFERROR(INDEX(Planting_Log!$G$5:$G$60,MATCH($B34,Planting_Log!$A$5:$A$60,0)),""))</f>
        <v>400</v>
      </c>
      <c r="R34" s="12">
        <f t="shared" si="2"/>
        <v>0</v>
      </c>
      <c r="S34" s="12">
        <f t="shared" si="3"/>
        <v>400</v>
      </c>
      <c r="T34" s="19">
        <f t="shared" si="4"/>
        <v>0.85</v>
      </c>
      <c r="U34" s="19">
        <f t="shared" si="5"/>
        <v>0.85</v>
      </c>
      <c r="V34" s="18">
        <f t="shared" si="6"/>
        <v>46186</v>
      </c>
      <c r="W34" s="12">
        <f t="shared" si="7"/>
        <v>365</v>
      </c>
      <c r="X34" s="12">
        <f t="shared" si="8"/>
        <v>0</v>
      </c>
      <c r="Y34" s="20" t="str">
        <f t="shared" si="9"/>
        <v/>
      </c>
      <c r="Z34" s="12">
        <f t="shared" si="10"/>
        <v>0</v>
      </c>
    </row>
    <row r="35" spans="1:26" x14ac:dyDescent="0.35">
      <c r="A35" s="17" t="s">
        <v>217</v>
      </c>
      <c r="B35" s="17" t="s">
        <v>145</v>
      </c>
      <c r="C35" s="13">
        <v>46126</v>
      </c>
      <c r="D35" s="17" t="s">
        <v>62</v>
      </c>
      <c r="E35" s="17" t="s">
        <v>85</v>
      </c>
      <c r="F35" s="17">
        <v>380</v>
      </c>
      <c r="G35" s="17">
        <v>12</v>
      </c>
      <c r="H35" s="17">
        <v>8</v>
      </c>
      <c r="I35" s="17" t="s">
        <v>84</v>
      </c>
      <c r="J35" s="17">
        <v>31</v>
      </c>
      <c r="K35" s="17">
        <v>0</v>
      </c>
      <c r="L35" s="17" t="s">
        <v>218</v>
      </c>
      <c r="M35" s="12" t="str">
        <f>IF($B35="","",IFERROR(INDEX(Planting_Log!$B$5:$B$60,MATCH($B35,Planting_Log!$A$5:$A$60,0)),""))</f>
        <v>Site C - sheltered lagoon</v>
      </c>
      <c r="N35" s="18">
        <f>IF($B35="","",IFERROR(INDEX(Planting_Log!$D$5:$D$60,MATCH($B35,Planting_Log!$A$5:$A$60,0)),""))</f>
        <v>46095</v>
      </c>
      <c r="O35" s="12">
        <f t="shared" si="0"/>
        <v>1</v>
      </c>
      <c r="P35" s="12">
        <f t="shared" si="1"/>
        <v>1</v>
      </c>
      <c r="Q35" s="12">
        <f>IF($B35="","",IFERROR(INDEX(Planting_Log!$G$5:$G$60,MATCH($B35,Planting_Log!$A$5:$A$60,0)),""))</f>
        <v>400</v>
      </c>
      <c r="R35" s="12">
        <f t="shared" si="2"/>
        <v>0</v>
      </c>
      <c r="S35" s="12">
        <f t="shared" si="3"/>
        <v>400</v>
      </c>
      <c r="T35" s="19">
        <f t="shared" si="4"/>
        <v>0.95</v>
      </c>
      <c r="U35" s="19">
        <f t="shared" si="5"/>
        <v>0.95</v>
      </c>
      <c r="V35" s="18" t="str">
        <f t="shared" si="6"/>
        <v/>
      </c>
      <c r="W35" s="12" t="str">
        <f t="shared" si="7"/>
        <v/>
      </c>
      <c r="X35" s="12">
        <f t="shared" si="8"/>
        <v>0</v>
      </c>
      <c r="Y35" s="20" t="str">
        <f t="shared" si="9"/>
        <v/>
      </c>
      <c r="Z35" s="12">
        <f t="shared" si="10"/>
        <v>0</v>
      </c>
    </row>
    <row r="36" spans="1:26" x14ac:dyDescent="0.35">
      <c r="A36" s="17" t="s">
        <v>219</v>
      </c>
      <c r="B36" s="17" t="s">
        <v>145</v>
      </c>
      <c r="C36" s="13">
        <v>46186</v>
      </c>
      <c r="D36" s="17" t="s">
        <v>62</v>
      </c>
      <c r="E36" s="17" t="s">
        <v>85</v>
      </c>
      <c r="F36" s="17">
        <v>330</v>
      </c>
      <c r="G36" s="17">
        <v>45</v>
      </c>
      <c r="H36" s="17">
        <v>25</v>
      </c>
      <c r="I36" s="17" t="s">
        <v>84</v>
      </c>
      <c r="J36" s="17">
        <v>37</v>
      </c>
      <c r="K36" s="17">
        <v>0</v>
      </c>
      <c r="L36" s="17"/>
      <c r="M36" s="12" t="str">
        <f>IF($B36="","",IFERROR(INDEX(Planting_Log!$B$5:$B$60,MATCH($B36,Planting_Log!$A$5:$A$60,0)),""))</f>
        <v>Site C - sheltered lagoon</v>
      </c>
      <c r="N36" s="18">
        <f>IF($B36="","",IFERROR(INDEX(Planting_Log!$D$5:$D$60,MATCH($B36,Planting_Log!$A$5:$A$60,0)),""))</f>
        <v>46095</v>
      </c>
      <c r="O36" s="12">
        <f t="shared" si="0"/>
        <v>3</v>
      </c>
      <c r="P36" s="12">
        <f t="shared" si="1"/>
        <v>3</v>
      </c>
      <c r="Q36" s="12">
        <f>IF($B36="","",IFERROR(INDEX(Planting_Log!$G$5:$G$60,MATCH($B36,Planting_Log!$A$5:$A$60,0)),""))</f>
        <v>400</v>
      </c>
      <c r="R36" s="12">
        <f t="shared" si="2"/>
        <v>0</v>
      </c>
      <c r="S36" s="12">
        <f t="shared" si="3"/>
        <v>400</v>
      </c>
      <c r="T36" s="19">
        <f t="shared" si="4"/>
        <v>0.82499999999999996</v>
      </c>
      <c r="U36" s="19">
        <f t="shared" si="5"/>
        <v>0.82499999999999996</v>
      </c>
      <c r="V36" s="18">
        <f t="shared" si="6"/>
        <v>46126</v>
      </c>
      <c r="W36" s="12">
        <f t="shared" si="7"/>
        <v>380</v>
      </c>
      <c r="X36" s="12">
        <f t="shared" si="8"/>
        <v>0</v>
      </c>
      <c r="Y36" s="20" t="str">
        <f t="shared" si="9"/>
        <v/>
      </c>
      <c r="Z36" s="12">
        <f t="shared" si="10"/>
        <v>0</v>
      </c>
    </row>
    <row r="37" spans="1:26" x14ac:dyDescent="0.35">
      <c r="A37" s="17" t="s">
        <v>220</v>
      </c>
      <c r="B37" s="17" t="s">
        <v>145</v>
      </c>
      <c r="C37" s="13">
        <v>46277</v>
      </c>
      <c r="D37" s="17" t="s">
        <v>62</v>
      </c>
      <c r="E37" s="17" t="s">
        <v>68</v>
      </c>
      <c r="F37" s="17">
        <v>290</v>
      </c>
      <c r="G37" s="17">
        <v>70</v>
      </c>
      <c r="H37" s="17">
        <v>40</v>
      </c>
      <c r="I37" s="17" t="s">
        <v>84</v>
      </c>
      <c r="J37" s="17">
        <v>49</v>
      </c>
      <c r="K37" s="17">
        <v>0</v>
      </c>
      <c r="L37" s="17"/>
      <c r="M37" s="12" t="str">
        <f>IF($B37="","",IFERROR(INDEX(Planting_Log!$B$5:$B$60,MATCH($B37,Planting_Log!$A$5:$A$60,0)),""))</f>
        <v>Site C - sheltered lagoon</v>
      </c>
      <c r="N37" s="18">
        <f>IF($B37="","",IFERROR(INDEX(Planting_Log!$D$5:$D$60,MATCH($B37,Planting_Log!$A$5:$A$60,0)),""))</f>
        <v>46095</v>
      </c>
      <c r="O37" s="12">
        <f t="shared" ref="O37:O68" si="11">IF(OR(N37="",C37=""),"",ROUND((C37-N37)/30.44,1))</f>
        <v>6</v>
      </c>
      <c r="P37" s="12">
        <f t="shared" ref="P37:P68" si="12">IF(O37="","",IF(O37&lt;2,1,IF(O37&lt;4.5,3,IF(O37&lt;7.5,6,IF(O37&lt;10.5,9,12)))))</f>
        <v>6</v>
      </c>
      <c r="Q37" s="12">
        <f>IF($B37="","",IFERROR(INDEX(Planting_Log!$G$5:$G$60,MATCH($B37,Planting_Log!$A$5:$A$60,0)),""))</f>
        <v>400</v>
      </c>
      <c r="R37" s="12">
        <f t="shared" ref="R37:R68" si="13">IF($B37="","",SUMIFS($K$5:$K$200,$B$5:$B$200,$B37,$C$5:$C$200,"&lt;"&amp;$C37))</f>
        <v>0</v>
      </c>
      <c r="S37" s="12">
        <f t="shared" ref="S37:S68" si="14">IF(Q37="","",Q37+R37)</f>
        <v>400</v>
      </c>
      <c r="T37" s="19">
        <f t="shared" ref="T37:T68" si="15">IF(OR(S37="",S37=0),"",F37/S37)</f>
        <v>0.72499999999999998</v>
      </c>
      <c r="U37" s="19">
        <f t="shared" ref="U37:U68" si="16">IF(OR(Q37="",Q37=0),"",F37/Q37)</f>
        <v>0.72499999999999998</v>
      </c>
      <c r="V37" s="18">
        <f t="shared" ref="V37:V68" si="17">IF($B37="","",IF(COUNTIFS($B$5:$B$200,$B37,$C$5:$C$200,"&lt;"&amp;$C37)=0,"",SUMPRODUCT(MAX(($B$5:$B$200=$B37)*($C$5:$C$200&lt;$C37)*$C$5:$C$200))))</f>
        <v>46186</v>
      </c>
      <c r="W37" s="12">
        <f t="shared" ref="W37:W68" si="18">IF(V37="","",SUMIFS($F$5:$F$200,$B$5:$B$200,$B37,$C$5:$C$200,V37))</f>
        <v>330</v>
      </c>
      <c r="X37" s="12">
        <f t="shared" ref="X37:X68" si="19">IF($B37="","",IF(V37="",0,SUMIFS($K$5:$K$200,$B$5:$B$200,$B37,$C$5:$C$200,"&gt;="&amp;V37,$C$5:$C$200,"&lt;"&amp;$C37)))</f>
        <v>0</v>
      </c>
      <c r="Y37" s="20" t="str">
        <f t="shared" ref="Y37:Y68" si="20">IF($B37="","",MID(IF(M37="","; Unknown plot","")&amp;IF(N37="","",IF(C37&lt;N37,"; Visit before planting",""))&amp;IF(S37="","",IF(F37+G37+H37&lt;&gt;S37,"; Count mismatch",""))&amp;IF(W37="","",IF(F37&gt;W37+X37,"; Alive rose without replanting",""))&amp;IF(COUNTIFS($B$5:$B$200,$B37,$C$5:$C$200,$C37)&gt;1,"; Duplicate visit","")&amp;IF(J37="","",IF(OR(J37&lt;HMin,J37&gt;HMax),"; Height out of range",""))&amp;IF(E37="","; No observer","")&amp;IF(G37+H37&gt;0,IF(I37="","; Loss without cause",""),""),3,300))</f>
        <v/>
      </c>
      <c r="Z37" s="12">
        <f t="shared" ref="Z37:Z68" si="21">IF($B37="","",IF(Y37="",0,1+LEN(Y37)-LEN(SUBSTITUTE(Y37,";",""))))</f>
        <v>0</v>
      </c>
    </row>
    <row r="38" spans="1:26" x14ac:dyDescent="0.35">
      <c r="A38" s="17" t="s">
        <v>221</v>
      </c>
      <c r="B38" s="17" t="s">
        <v>148</v>
      </c>
      <c r="C38" s="13">
        <v>46126</v>
      </c>
      <c r="D38" s="17" t="s">
        <v>62</v>
      </c>
      <c r="E38" s="17" t="s">
        <v>85</v>
      </c>
      <c r="F38" s="17">
        <v>392</v>
      </c>
      <c r="G38" s="17">
        <v>5</v>
      </c>
      <c r="H38" s="17">
        <v>3</v>
      </c>
      <c r="I38" s="17" t="s">
        <v>88</v>
      </c>
      <c r="J38" s="17">
        <v>32</v>
      </c>
      <c r="K38" s="17">
        <v>0</v>
      </c>
      <c r="L38" s="17"/>
      <c r="M38" s="12" t="str">
        <f>IF($B38="","",IFERROR(INDEX(Planting_Log!$B$5:$B$60,MATCH($B38,Planting_Log!$A$5:$A$60,0)),""))</f>
        <v>Site C - sheltered lagoon</v>
      </c>
      <c r="N38" s="18">
        <f>IF($B38="","",IFERROR(INDEX(Planting_Log!$D$5:$D$60,MATCH($B38,Planting_Log!$A$5:$A$60,0)),""))</f>
        <v>46095</v>
      </c>
      <c r="O38" s="12">
        <f t="shared" si="11"/>
        <v>1</v>
      </c>
      <c r="P38" s="12">
        <f t="shared" si="12"/>
        <v>1</v>
      </c>
      <c r="Q38" s="12">
        <f>IF($B38="","",IFERROR(INDEX(Planting_Log!$G$5:$G$60,MATCH($B38,Planting_Log!$A$5:$A$60,0)),""))</f>
        <v>400</v>
      </c>
      <c r="R38" s="12">
        <f t="shared" si="13"/>
        <v>0</v>
      </c>
      <c r="S38" s="12">
        <f t="shared" si="14"/>
        <v>400</v>
      </c>
      <c r="T38" s="19">
        <f t="shared" si="15"/>
        <v>0.98</v>
      </c>
      <c r="U38" s="19">
        <f t="shared" si="16"/>
        <v>0.98</v>
      </c>
      <c r="V38" s="18" t="str">
        <f t="shared" si="17"/>
        <v/>
      </c>
      <c r="W38" s="12" t="str">
        <f t="shared" si="18"/>
        <v/>
      </c>
      <c r="X38" s="12">
        <f t="shared" si="19"/>
        <v>0</v>
      </c>
      <c r="Y38" s="20" t="str">
        <f t="shared" si="20"/>
        <v/>
      </c>
      <c r="Z38" s="12">
        <f t="shared" si="21"/>
        <v>0</v>
      </c>
    </row>
    <row r="39" spans="1:26" x14ac:dyDescent="0.35">
      <c r="A39" s="17" t="s">
        <v>222</v>
      </c>
      <c r="B39" s="17" t="s">
        <v>148</v>
      </c>
      <c r="C39" s="13">
        <v>46186</v>
      </c>
      <c r="D39" s="17" t="s">
        <v>62</v>
      </c>
      <c r="E39" s="17" t="s">
        <v>85</v>
      </c>
      <c r="F39" s="17">
        <v>372</v>
      </c>
      <c r="G39" s="17">
        <v>18</v>
      </c>
      <c r="H39" s="17">
        <v>10</v>
      </c>
      <c r="I39" s="17" t="s">
        <v>88</v>
      </c>
      <c r="J39" s="17">
        <v>39</v>
      </c>
      <c r="K39" s="17">
        <v>0</v>
      </c>
      <c r="L39" s="17"/>
      <c r="M39" s="12" t="str">
        <f>IF($B39="","",IFERROR(INDEX(Planting_Log!$B$5:$B$60,MATCH($B39,Planting_Log!$A$5:$A$60,0)),""))</f>
        <v>Site C - sheltered lagoon</v>
      </c>
      <c r="N39" s="18">
        <f>IF($B39="","",IFERROR(INDEX(Planting_Log!$D$5:$D$60,MATCH($B39,Planting_Log!$A$5:$A$60,0)),""))</f>
        <v>46095</v>
      </c>
      <c r="O39" s="12">
        <f t="shared" si="11"/>
        <v>3</v>
      </c>
      <c r="P39" s="12">
        <f t="shared" si="12"/>
        <v>3</v>
      </c>
      <c r="Q39" s="12">
        <f>IF($B39="","",IFERROR(INDEX(Planting_Log!$G$5:$G$60,MATCH($B39,Planting_Log!$A$5:$A$60,0)),""))</f>
        <v>400</v>
      </c>
      <c r="R39" s="12">
        <f t="shared" si="13"/>
        <v>0</v>
      </c>
      <c r="S39" s="12">
        <f t="shared" si="14"/>
        <v>400</v>
      </c>
      <c r="T39" s="19">
        <f t="shared" si="15"/>
        <v>0.93</v>
      </c>
      <c r="U39" s="19">
        <f t="shared" si="16"/>
        <v>0.93</v>
      </c>
      <c r="V39" s="18">
        <f t="shared" si="17"/>
        <v>46126</v>
      </c>
      <c r="W39" s="12">
        <f t="shared" si="18"/>
        <v>392</v>
      </c>
      <c r="X39" s="12">
        <f t="shared" si="19"/>
        <v>0</v>
      </c>
      <c r="Y39" s="20" t="str">
        <f t="shared" si="20"/>
        <v>Duplicate visit</v>
      </c>
      <c r="Z39" s="12">
        <f t="shared" si="21"/>
        <v>1</v>
      </c>
    </row>
    <row r="40" spans="1:26" x14ac:dyDescent="0.35">
      <c r="A40" s="17" t="s">
        <v>223</v>
      </c>
      <c r="B40" s="17" t="s">
        <v>148</v>
      </c>
      <c r="C40" s="13">
        <v>46186</v>
      </c>
      <c r="D40" s="17" t="s">
        <v>62</v>
      </c>
      <c r="E40" s="17" t="s">
        <v>85</v>
      </c>
      <c r="F40" s="17">
        <v>372</v>
      </c>
      <c r="G40" s="17">
        <v>18</v>
      </c>
      <c r="H40" s="17">
        <v>10</v>
      </c>
      <c r="I40" s="17" t="s">
        <v>88</v>
      </c>
      <c r="J40" s="17">
        <v>39</v>
      </c>
      <c r="K40" s="17">
        <v>0</v>
      </c>
      <c r="L40" s="17" t="s">
        <v>224</v>
      </c>
      <c r="M40" s="12" t="str">
        <f>IF($B40="","",IFERROR(INDEX(Planting_Log!$B$5:$B$60,MATCH($B40,Planting_Log!$A$5:$A$60,0)),""))</f>
        <v>Site C - sheltered lagoon</v>
      </c>
      <c r="N40" s="18">
        <f>IF($B40="","",IFERROR(INDEX(Planting_Log!$D$5:$D$60,MATCH($B40,Planting_Log!$A$5:$A$60,0)),""))</f>
        <v>46095</v>
      </c>
      <c r="O40" s="12">
        <f t="shared" si="11"/>
        <v>3</v>
      </c>
      <c r="P40" s="12">
        <f t="shared" si="12"/>
        <v>3</v>
      </c>
      <c r="Q40" s="12">
        <f>IF($B40="","",IFERROR(INDEX(Planting_Log!$G$5:$G$60,MATCH($B40,Planting_Log!$A$5:$A$60,0)),""))</f>
        <v>400</v>
      </c>
      <c r="R40" s="12">
        <f t="shared" si="13"/>
        <v>0</v>
      </c>
      <c r="S40" s="12">
        <f t="shared" si="14"/>
        <v>400</v>
      </c>
      <c r="T40" s="19">
        <f t="shared" si="15"/>
        <v>0.93</v>
      </c>
      <c r="U40" s="19">
        <f t="shared" si="16"/>
        <v>0.93</v>
      </c>
      <c r="V40" s="18">
        <f t="shared" si="17"/>
        <v>46126</v>
      </c>
      <c r="W40" s="12">
        <f t="shared" si="18"/>
        <v>392</v>
      </c>
      <c r="X40" s="12">
        <f t="shared" si="19"/>
        <v>0</v>
      </c>
      <c r="Y40" s="20" t="str">
        <f t="shared" si="20"/>
        <v>Duplicate visit</v>
      </c>
      <c r="Z40" s="12">
        <f t="shared" si="21"/>
        <v>1</v>
      </c>
    </row>
    <row r="41" spans="1:26" x14ac:dyDescent="0.35">
      <c r="A41" s="17" t="s">
        <v>225</v>
      </c>
      <c r="B41" s="17" t="s">
        <v>148</v>
      </c>
      <c r="C41" s="13">
        <v>46277</v>
      </c>
      <c r="D41" s="17" t="s">
        <v>62</v>
      </c>
      <c r="E41" s="17" t="s">
        <v>68</v>
      </c>
      <c r="F41" s="17">
        <v>355</v>
      </c>
      <c r="G41" s="17">
        <v>30</v>
      </c>
      <c r="H41" s="17">
        <v>15</v>
      </c>
      <c r="I41" s="17" t="s">
        <v>88</v>
      </c>
      <c r="J41" s="17">
        <v>51</v>
      </c>
      <c r="K41" s="17">
        <v>0</v>
      </c>
      <c r="L41" s="17"/>
      <c r="M41" s="12" t="str">
        <f>IF($B41="","",IFERROR(INDEX(Planting_Log!$B$5:$B$60,MATCH($B41,Planting_Log!$A$5:$A$60,0)),""))</f>
        <v>Site C - sheltered lagoon</v>
      </c>
      <c r="N41" s="18">
        <f>IF($B41="","",IFERROR(INDEX(Planting_Log!$D$5:$D$60,MATCH($B41,Planting_Log!$A$5:$A$60,0)),""))</f>
        <v>46095</v>
      </c>
      <c r="O41" s="12">
        <f t="shared" si="11"/>
        <v>6</v>
      </c>
      <c r="P41" s="12">
        <f t="shared" si="12"/>
        <v>6</v>
      </c>
      <c r="Q41" s="12">
        <f>IF($B41="","",IFERROR(INDEX(Planting_Log!$G$5:$G$60,MATCH($B41,Planting_Log!$A$5:$A$60,0)),""))</f>
        <v>400</v>
      </c>
      <c r="R41" s="12">
        <f t="shared" si="13"/>
        <v>0</v>
      </c>
      <c r="S41" s="12">
        <f t="shared" si="14"/>
        <v>400</v>
      </c>
      <c r="T41" s="19">
        <f t="shared" si="15"/>
        <v>0.88749999999999996</v>
      </c>
      <c r="U41" s="19">
        <f t="shared" si="16"/>
        <v>0.88749999999999996</v>
      </c>
      <c r="V41" s="18">
        <f t="shared" si="17"/>
        <v>46186</v>
      </c>
      <c r="W41" s="12">
        <f t="shared" si="18"/>
        <v>744</v>
      </c>
      <c r="X41" s="12">
        <f t="shared" si="19"/>
        <v>0</v>
      </c>
      <c r="Y41" s="20" t="str">
        <f t="shared" si="20"/>
        <v/>
      </c>
      <c r="Z41" s="12">
        <f t="shared" si="21"/>
        <v>0</v>
      </c>
    </row>
    <row r="42" spans="1:26" x14ac:dyDescent="0.35">
      <c r="A42" s="17" t="s">
        <v>226</v>
      </c>
      <c r="B42" s="17" t="s">
        <v>152</v>
      </c>
      <c r="C42" s="13">
        <v>46126</v>
      </c>
      <c r="D42" s="17" t="s">
        <v>62</v>
      </c>
      <c r="E42" s="17" t="s">
        <v>85</v>
      </c>
      <c r="F42" s="17">
        <v>390</v>
      </c>
      <c r="G42" s="17">
        <v>6</v>
      </c>
      <c r="H42" s="17">
        <v>4</v>
      </c>
      <c r="I42" s="17" t="s">
        <v>80</v>
      </c>
      <c r="J42" s="17">
        <v>31</v>
      </c>
      <c r="K42" s="17">
        <v>0</v>
      </c>
      <c r="L42" s="17"/>
      <c r="M42" s="12" t="str">
        <f>IF($B42="","",IFERROR(INDEX(Planting_Log!$B$5:$B$60,MATCH($B42,Planting_Log!$A$5:$A$60,0)),""))</f>
        <v>Site C - sheltered lagoon</v>
      </c>
      <c r="N42" s="18">
        <f>IF($B42="","",IFERROR(INDEX(Planting_Log!$D$5:$D$60,MATCH($B42,Planting_Log!$A$5:$A$60,0)),""))</f>
        <v>46095</v>
      </c>
      <c r="O42" s="12">
        <f t="shared" si="11"/>
        <v>1</v>
      </c>
      <c r="P42" s="12">
        <f t="shared" si="12"/>
        <v>1</v>
      </c>
      <c r="Q42" s="12">
        <f>IF($B42="","",IFERROR(INDEX(Planting_Log!$G$5:$G$60,MATCH($B42,Planting_Log!$A$5:$A$60,0)),""))</f>
        <v>400</v>
      </c>
      <c r="R42" s="12">
        <f t="shared" si="13"/>
        <v>0</v>
      </c>
      <c r="S42" s="12">
        <f t="shared" si="14"/>
        <v>400</v>
      </c>
      <c r="T42" s="19">
        <f t="shared" si="15"/>
        <v>0.97499999999999998</v>
      </c>
      <c r="U42" s="19">
        <f t="shared" si="16"/>
        <v>0.97499999999999998</v>
      </c>
      <c r="V42" s="18" t="str">
        <f t="shared" si="17"/>
        <v/>
      </c>
      <c r="W42" s="12" t="str">
        <f t="shared" si="18"/>
        <v/>
      </c>
      <c r="X42" s="12">
        <f t="shared" si="19"/>
        <v>0</v>
      </c>
      <c r="Y42" s="20" t="str">
        <f t="shared" si="20"/>
        <v/>
      </c>
      <c r="Z42" s="12">
        <f t="shared" si="21"/>
        <v>0</v>
      </c>
    </row>
    <row r="43" spans="1:26" x14ac:dyDescent="0.35">
      <c r="A43" s="17" t="s">
        <v>227</v>
      </c>
      <c r="B43" s="17" t="s">
        <v>152</v>
      </c>
      <c r="C43" s="13">
        <v>46186</v>
      </c>
      <c r="D43" s="17" t="s">
        <v>62</v>
      </c>
      <c r="E43" s="17" t="s">
        <v>85</v>
      </c>
      <c r="F43" s="17">
        <v>375</v>
      </c>
      <c r="G43" s="17">
        <v>15</v>
      </c>
      <c r="H43" s="17">
        <v>10</v>
      </c>
      <c r="I43" s="17" t="s">
        <v>80</v>
      </c>
      <c r="J43" s="17">
        <v>38</v>
      </c>
      <c r="K43" s="17">
        <v>0</v>
      </c>
      <c r="L43" s="17"/>
      <c r="M43" s="12" t="str">
        <f>IF($B43="","",IFERROR(INDEX(Planting_Log!$B$5:$B$60,MATCH($B43,Planting_Log!$A$5:$A$60,0)),""))</f>
        <v>Site C - sheltered lagoon</v>
      </c>
      <c r="N43" s="18">
        <f>IF($B43="","",IFERROR(INDEX(Planting_Log!$D$5:$D$60,MATCH($B43,Planting_Log!$A$5:$A$60,0)),""))</f>
        <v>46095</v>
      </c>
      <c r="O43" s="12">
        <f t="shared" si="11"/>
        <v>3</v>
      </c>
      <c r="P43" s="12">
        <f t="shared" si="12"/>
        <v>3</v>
      </c>
      <c r="Q43" s="12">
        <f>IF($B43="","",IFERROR(INDEX(Planting_Log!$G$5:$G$60,MATCH($B43,Planting_Log!$A$5:$A$60,0)),""))</f>
        <v>400</v>
      </c>
      <c r="R43" s="12">
        <f t="shared" si="13"/>
        <v>0</v>
      </c>
      <c r="S43" s="12">
        <f t="shared" si="14"/>
        <v>400</v>
      </c>
      <c r="T43" s="19">
        <f t="shared" si="15"/>
        <v>0.9375</v>
      </c>
      <c r="U43" s="19">
        <f t="shared" si="16"/>
        <v>0.9375</v>
      </c>
      <c r="V43" s="18">
        <f t="shared" si="17"/>
        <v>46126</v>
      </c>
      <c r="W43" s="12">
        <f t="shared" si="18"/>
        <v>390</v>
      </c>
      <c r="X43" s="12">
        <f t="shared" si="19"/>
        <v>0</v>
      </c>
      <c r="Y43" s="20" t="str">
        <f t="shared" si="20"/>
        <v/>
      </c>
      <c r="Z43" s="12">
        <f t="shared" si="21"/>
        <v>0</v>
      </c>
    </row>
    <row r="44" spans="1:26" x14ac:dyDescent="0.35">
      <c r="A44" s="17" t="s">
        <v>228</v>
      </c>
      <c r="B44" s="17" t="s">
        <v>152</v>
      </c>
      <c r="C44" s="13">
        <v>46277</v>
      </c>
      <c r="D44" s="17" t="s">
        <v>62</v>
      </c>
      <c r="E44" s="17"/>
      <c r="F44" s="17">
        <v>362</v>
      </c>
      <c r="G44" s="17">
        <v>25</v>
      </c>
      <c r="H44" s="17">
        <v>13</v>
      </c>
      <c r="I44" s="17" t="s">
        <v>80</v>
      </c>
      <c r="J44" s="17">
        <v>50</v>
      </c>
      <c r="K44" s="17">
        <v>0</v>
      </c>
      <c r="L44" s="17"/>
      <c r="M44" s="12" t="str">
        <f>IF($B44="","",IFERROR(INDEX(Planting_Log!$B$5:$B$60,MATCH($B44,Planting_Log!$A$5:$A$60,0)),""))</f>
        <v>Site C - sheltered lagoon</v>
      </c>
      <c r="N44" s="18">
        <f>IF($B44="","",IFERROR(INDEX(Planting_Log!$D$5:$D$60,MATCH($B44,Planting_Log!$A$5:$A$60,0)),""))</f>
        <v>46095</v>
      </c>
      <c r="O44" s="12">
        <f t="shared" si="11"/>
        <v>6</v>
      </c>
      <c r="P44" s="12">
        <f t="shared" si="12"/>
        <v>6</v>
      </c>
      <c r="Q44" s="12">
        <f>IF($B44="","",IFERROR(INDEX(Planting_Log!$G$5:$G$60,MATCH($B44,Planting_Log!$A$5:$A$60,0)),""))</f>
        <v>400</v>
      </c>
      <c r="R44" s="12">
        <f t="shared" si="13"/>
        <v>0</v>
      </c>
      <c r="S44" s="12">
        <f t="shared" si="14"/>
        <v>400</v>
      </c>
      <c r="T44" s="19">
        <f t="shared" si="15"/>
        <v>0.90500000000000003</v>
      </c>
      <c r="U44" s="19">
        <f t="shared" si="16"/>
        <v>0.90500000000000003</v>
      </c>
      <c r="V44" s="18">
        <f t="shared" si="17"/>
        <v>46186</v>
      </c>
      <c r="W44" s="12">
        <f t="shared" si="18"/>
        <v>375</v>
      </c>
      <c r="X44" s="12">
        <f t="shared" si="19"/>
        <v>0</v>
      </c>
      <c r="Y44" s="20" t="str">
        <f t="shared" si="20"/>
        <v>No observer</v>
      </c>
      <c r="Z44" s="12">
        <f t="shared" si="21"/>
        <v>1</v>
      </c>
    </row>
    <row r="45" spans="1:26" x14ac:dyDescent="0.35">
      <c r="A45" s="17"/>
      <c r="B45" s="17"/>
      <c r="C45" s="13"/>
      <c r="D45" s="17"/>
      <c r="E45" s="17"/>
      <c r="F45" s="17"/>
      <c r="G45" s="17"/>
      <c r="H45" s="17"/>
      <c r="I45" s="17"/>
      <c r="J45" s="17"/>
      <c r="K45" s="17"/>
      <c r="L45" s="17"/>
      <c r="M45" s="12" t="str">
        <f>IF($B45="","",IFERROR(INDEX(Planting_Log!$B$5:$B$60,MATCH($B45,Planting_Log!$A$5:$A$60,0)),""))</f>
        <v/>
      </c>
      <c r="N45" s="18" t="str">
        <f>IF($B45="","",IFERROR(INDEX(Planting_Log!$D$5:$D$60,MATCH($B45,Planting_Log!$A$5:$A$60,0)),""))</f>
        <v/>
      </c>
      <c r="O45" s="12" t="str">
        <f t="shared" si="11"/>
        <v/>
      </c>
      <c r="P45" s="12" t="str">
        <f t="shared" si="12"/>
        <v/>
      </c>
      <c r="Q45" s="12" t="str">
        <f>IF($B45="","",IFERROR(INDEX(Planting_Log!$G$5:$G$60,MATCH($B45,Planting_Log!$A$5:$A$60,0)),""))</f>
        <v/>
      </c>
      <c r="R45" s="12" t="str">
        <f t="shared" si="13"/>
        <v/>
      </c>
      <c r="S45" s="12" t="str">
        <f t="shared" si="14"/>
        <v/>
      </c>
      <c r="T45" s="19" t="str">
        <f t="shared" si="15"/>
        <v/>
      </c>
      <c r="U45" s="19" t="str">
        <f t="shared" si="16"/>
        <v/>
      </c>
      <c r="V45" s="18" t="str">
        <f t="shared" si="17"/>
        <v/>
      </c>
      <c r="W45" s="12" t="str">
        <f t="shared" si="18"/>
        <v/>
      </c>
      <c r="X45" s="12" t="str">
        <f t="shared" si="19"/>
        <v/>
      </c>
      <c r="Y45" s="20" t="str">
        <f t="shared" si="20"/>
        <v/>
      </c>
      <c r="Z45" s="12" t="str">
        <f t="shared" si="21"/>
        <v/>
      </c>
    </row>
    <row r="46" spans="1:26" x14ac:dyDescent="0.35">
      <c r="A46" s="17"/>
      <c r="B46" s="17"/>
      <c r="C46" s="13"/>
      <c r="D46" s="17"/>
      <c r="E46" s="17"/>
      <c r="F46" s="17"/>
      <c r="G46" s="17"/>
      <c r="H46" s="17"/>
      <c r="I46" s="17"/>
      <c r="J46" s="17"/>
      <c r="K46" s="17"/>
      <c r="L46" s="17"/>
      <c r="M46" s="12" t="str">
        <f>IF($B46="","",IFERROR(INDEX(Planting_Log!$B$5:$B$60,MATCH($B46,Planting_Log!$A$5:$A$60,0)),""))</f>
        <v/>
      </c>
      <c r="N46" s="18" t="str">
        <f>IF($B46="","",IFERROR(INDEX(Planting_Log!$D$5:$D$60,MATCH($B46,Planting_Log!$A$5:$A$60,0)),""))</f>
        <v/>
      </c>
      <c r="O46" s="12" t="str">
        <f t="shared" si="11"/>
        <v/>
      </c>
      <c r="P46" s="12" t="str">
        <f t="shared" si="12"/>
        <v/>
      </c>
      <c r="Q46" s="12" t="str">
        <f>IF($B46="","",IFERROR(INDEX(Planting_Log!$G$5:$G$60,MATCH($B46,Planting_Log!$A$5:$A$60,0)),""))</f>
        <v/>
      </c>
      <c r="R46" s="12" t="str">
        <f t="shared" si="13"/>
        <v/>
      </c>
      <c r="S46" s="12" t="str">
        <f t="shared" si="14"/>
        <v/>
      </c>
      <c r="T46" s="19" t="str">
        <f t="shared" si="15"/>
        <v/>
      </c>
      <c r="U46" s="19" t="str">
        <f t="shared" si="16"/>
        <v/>
      </c>
      <c r="V46" s="18" t="str">
        <f t="shared" si="17"/>
        <v/>
      </c>
      <c r="W46" s="12" t="str">
        <f t="shared" si="18"/>
        <v/>
      </c>
      <c r="X46" s="12" t="str">
        <f t="shared" si="19"/>
        <v/>
      </c>
      <c r="Y46" s="20" t="str">
        <f t="shared" si="20"/>
        <v/>
      </c>
      <c r="Z46" s="12" t="str">
        <f t="shared" si="21"/>
        <v/>
      </c>
    </row>
    <row r="47" spans="1:26" x14ac:dyDescent="0.35">
      <c r="A47" s="17"/>
      <c r="B47" s="17"/>
      <c r="C47" s="13"/>
      <c r="D47" s="17"/>
      <c r="E47" s="17"/>
      <c r="F47" s="17"/>
      <c r="G47" s="17"/>
      <c r="H47" s="17"/>
      <c r="I47" s="17"/>
      <c r="J47" s="17"/>
      <c r="K47" s="17"/>
      <c r="L47" s="17"/>
      <c r="M47" s="12" t="str">
        <f>IF($B47="","",IFERROR(INDEX(Planting_Log!$B$5:$B$60,MATCH($B47,Planting_Log!$A$5:$A$60,0)),""))</f>
        <v/>
      </c>
      <c r="N47" s="18" t="str">
        <f>IF($B47="","",IFERROR(INDEX(Planting_Log!$D$5:$D$60,MATCH($B47,Planting_Log!$A$5:$A$60,0)),""))</f>
        <v/>
      </c>
      <c r="O47" s="12" t="str">
        <f t="shared" si="11"/>
        <v/>
      </c>
      <c r="P47" s="12" t="str">
        <f t="shared" si="12"/>
        <v/>
      </c>
      <c r="Q47" s="12" t="str">
        <f>IF($B47="","",IFERROR(INDEX(Planting_Log!$G$5:$G$60,MATCH($B47,Planting_Log!$A$5:$A$60,0)),""))</f>
        <v/>
      </c>
      <c r="R47" s="12" t="str">
        <f t="shared" si="13"/>
        <v/>
      </c>
      <c r="S47" s="12" t="str">
        <f t="shared" si="14"/>
        <v/>
      </c>
      <c r="T47" s="19" t="str">
        <f t="shared" si="15"/>
        <v/>
      </c>
      <c r="U47" s="19" t="str">
        <f t="shared" si="16"/>
        <v/>
      </c>
      <c r="V47" s="18" t="str">
        <f t="shared" si="17"/>
        <v/>
      </c>
      <c r="W47" s="12" t="str">
        <f t="shared" si="18"/>
        <v/>
      </c>
      <c r="X47" s="12" t="str">
        <f t="shared" si="19"/>
        <v/>
      </c>
      <c r="Y47" s="20" t="str">
        <f t="shared" si="20"/>
        <v/>
      </c>
      <c r="Z47" s="12" t="str">
        <f t="shared" si="21"/>
        <v/>
      </c>
    </row>
    <row r="48" spans="1:26" x14ac:dyDescent="0.35">
      <c r="A48" s="17"/>
      <c r="B48" s="17"/>
      <c r="C48" s="13"/>
      <c r="D48" s="17"/>
      <c r="E48" s="17"/>
      <c r="F48" s="17"/>
      <c r="G48" s="17"/>
      <c r="H48" s="17"/>
      <c r="I48" s="17"/>
      <c r="J48" s="17"/>
      <c r="K48" s="17"/>
      <c r="L48" s="17"/>
      <c r="M48" s="12" t="str">
        <f>IF($B48="","",IFERROR(INDEX(Planting_Log!$B$5:$B$60,MATCH($B48,Planting_Log!$A$5:$A$60,0)),""))</f>
        <v/>
      </c>
      <c r="N48" s="18" t="str">
        <f>IF($B48="","",IFERROR(INDEX(Planting_Log!$D$5:$D$60,MATCH($B48,Planting_Log!$A$5:$A$60,0)),""))</f>
        <v/>
      </c>
      <c r="O48" s="12" t="str">
        <f t="shared" si="11"/>
        <v/>
      </c>
      <c r="P48" s="12" t="str">
        <f t="shared" si="12"/>
        <v/>
      </c>
      <c r="Q48" s="12" t="str">
        <f>IF($B48="","",IFERROR(INDEX(Planting_Log!$G$5:$G$60,MATCH($B48,Planting_Log!$A$5:$A$60,0)),""))</f>
        <v/>
      </c>
      <c r="R48" s="12" t="str">
        <f t="shared" si="13"/>
        <v/>
      </c>
      <c r="S48" s="12" t="str">
        <f t="shared" si="14"/>
        <v/>
      </c>
      <c r="T48" s="19" t="str">
        <f t="shared" si="15"/>
        <v/>
      </c>
      <c r="U48" s="19" t="str">
        <f t="shared" si="16"/>
        <v/>
      </c>
      <c r="V48" s="18" t="str">
        <f t="shared" si="17"/>
        <v/>
      </c>
      <c r="W48" s="12" t="str">
        <f t="shared" si="18"/>
        <v/>
      </c>
      <c r="X48" s="12" t="str">
        <f t="shared" si="19"/>
        <v/>
      </c>
      <c r="Y48" s="20" t="str">
        <f t="shared" si="20"/>
        <v/>
      </c>
      <c r="Z48" s="12" t="str">
        <f t="shared" si="21"/>
        <v/>
      </c>
    </row>
    <row r="49" spans="1:26" x14ac:dyDescent="0.35">
      <c r="A49" s="17"/>
      <c r="B49" s="17"/>
      <c r="C49" s="13"/>
      <c r="D49" s="17"/>
      <c r="E49" s="17"/>
      <c r="F49" s="17"/>
      <c r="G49" s="17"/>
      <c r="H49" s="17"/>
      <c r="I49" s="17"/>
      <c r="J49" s="17"/>
      <c r="K49" s="17"/>
      <c r="L49" s="17"/>
      <c r="M49" s="12" t="str">
        <f>IF($B49="","",IFERROR(INDEX(Planting_Log!$B$5:$B$60,MATCH($B49,Planting_Log!$A$5:$A$60,0)),""))</f>
        <v/>
      </c>
      <c r="N49" s="18" t="str">
        <f>IF($B49="","",IFERROR(INDEX(Planting_Log!$D$5:$D$60,MATCH($B49,Planting_Log!$A$5:$A$60,0)),""))</f>
        <v/>
      </c>
      <c r="O49" s="12" t="str">
        <f t="shared" si="11"/>
        <v/>
      </c>
      <c r="P49" s="12" t="str">
        <f t="shared" si="12"/>
        <v/>
      </c>
      <c r="Q49" s="12" t="str">
        <f>IF($B49="","",IFERROR(INDEX(Planting_Log!$G$5:$G$60,MATCH($B49,Planting_Log!$A$5:$A$60,0)),""))</f>
        <v/>
      </c>
      <c r="R49" s="12" t="str">
        <f t="shared" si="13"/>
        <v/>
      </c>
      <c r="S49" s="12" t="str">
        <f t="shared" si="14"/>
        <v/>
      </c>
      <c r="T49" s="19" t="str">
        <f t="shared" si="15"/>
        <v/>
      </c>
      <c r="U49" s="19" t="str">
        <f t="shared" si="16"/>
        <v/>
      </c>
      <c r="V49" s="18" t="str">
        <f t="shared" si="17"/>
        <v/>
      </c>
      <c r="W49" s="12" t="str">
        <f t="shared" si="18"/>
        <v/>
      </c>
      <c r="X49" s="12" t="str">
        <f t="shared" si="19"/>
        <v/>
      </c>
      <c r="Y49" s="20" t="str">
        <f t="shared" si="20"/>
        <v/>
      </c>
      <c r="Z49" s="12" t="str">
        <f t="shared" si="21"/>
        <v/>
      </c>
    </row>
    <row r="50" spans="1:26" x14ac:dyDescent="0.35">
      <c r="A50" s="17"/>
      <c r="B50" s="17"/>
      <c r="C50" s="13"/>
      <c r="D50" s="17"/>
      <c r="E50" s="17"/>
      <c r="F50" s="17"/>
      <c r="G50" s="17"/>
      <c r="H50" s="17"/>
      <c r="I50" s="17"/>
      <c r="J50" s="17"/>
      <c r="K50" s="17"/>
      <c r="L50" s="17"/>
      <c r="M50" s="12" t="str">
        <f>IF($B50="","",IFERROR(INDEX(Planting_Log!$B$5:$B$60,MATCH($B50,Planting_Log!$A$5:$A$60,0)),""))</f>
        <v/>
      </c>
      <c r="N50" s="18" t="str">
        <f>IF($B50="","",IFERROR(INDEX(Planting_Log!$D$5:$D$60,MATCH($B50,Planting_Log!$A$5:$A$60,0)),""))</f>
        <v/>
      </c>
      <c r="O50" s="12" t="str">
        <f t="shared" si="11"/>
        <v/>
      </c>
      <c r="P50" s="12" t="str">
        <f t="shared" si="12"/>
        <v/>
      </c>
      <c r="Q50" s="12" t="str">
        <f>IF($B50="","",IFERROR(INDEX(Planting_Log!$G$5:$G$60,MATCH($B50,Planting_Log!$A$5:$A$60,0)),""))</f>
        <v/>
      </c>
      <c r="R50" s="12" t="str">
        <f t="shared" si="13"/>
        <v/>
      </c>
      <c r="S50" s="12" t="str">
        <f t="shared" si="14"/>
        <v/>
      </c>
      <c r="T50" s="19" t="str">
        <f t="shared" si="15"/>
        <v/>
      </c>
      <c r="U50" s="19" t="str">
        <f t="shared" si="16"/>
        <v/>
      </c>
      <c r="V50" s="18" t="str">
        <f t="shared" si="17"/>
        <v/>
      </c>
      <c r="W50" s="12" t="str">
        <f t="shared" si="18"/>
        <v/>
      </c>
      <c r="X50" s="12" t="str">
        <f t="shared" si="19"/>
        <v/>
      </c>
      <c r="Y50" s="20" t="str">
        <f t="shared" si="20"/>
        <v/>
      </c>
      <c r="Z50" s="12" t="str">
        <f t="shared" si="21"/>
        <v/>
      </c>
    </row>
    <row r="51" spans="1:26" x14ac:dyDescent="0.35">
      <c r="A51" s="17"/>
      <c r="B51" s="17"/>
      <c r="C51" s="13"/>
      <c r="D51" s="17"/>
      <c r="E51" s="17"/>
      <c r="F51" s="17"/>
      <c r="G51" s="17"/>
      <c r="H51" s="17"/>
      <c r="I51" s="17"/>
      <c r="J51" s="17"/>
      <c r="K51" s="17"/>
      <c r="L51" s="17"/>
      <c r="M51" s="12" t="str">
        <f>IF($B51="","",IFERROR(INDEX(Planting_Log!$B$5:$B$60,MATCH($B51,Planting_Log!$A$5:$A$60,0)),""))</f>
        <v/>
      </c>
      <c r="N51" s="18" t="str">
        <f>IF($B51="","",IFERROR(INDEX(Planting_Log!$D$5:$D$60,MATCH($B51,Planting_Log!$A$5:$A$60,0)),""))</f>
        <v/>
      </c>
      <c r="O51" s="12" t="str">
        <f t="shared" si="11"/>
        <v/>
      </c>
      <c r="P51" s="12" t="str">
        <f t="shared" si="12"/>
        <v/>
      </c>
      <c r="Q51" s="12" t="str">
        <f>IF($B51="","",IFERROR(INDEX(Planting_Log!$G$5:$G$60,MATCH($B51,Planting_Log!$A$5:$A$60,0)),""))</f>
        <v/>
      </c>
      <c r="R51" s="12" t="str">
        <f t="shared" si="13"/>
        <v/>
      </c>
      <c r="S51" s="12" t="str">
        <f t="shared" si="14"/>
        <v/>
      </c>
      <c r="T51" s="19" t="str">
        <f t="shared" si="15"/>
        <v/>
      </c>
      <c r="U51" s="19" t="str">
        <f t="shared" si="16"/>
        <v/>
      </c>
      <c r="V51" s="18" t="str">
        <f t="shared" si="17"/>
        <v/>
      </c>
      <c r="W51" s="12" t="str">
        <f t="shared" si="18"/>
        <v/>
      </c>
      <c r="X51" s="12" t="str">
        <f t="shared" si="19"/>
        <v/>
      </c>
      <c r="Y51" s="20" t="str">
        <f t="shared" si="20"/>
        <v/>
      </c>
      <c r="Z51" s="12" t="str">
        <f t="shared" si="21"/>
        <v/>
      </c>
    </row>
    <row r="52" spans="1:26" x14ac:dyDescent="0.35">
      <c r="A52" s="17"/>
      <c r="B52" s="17"/>
      <c r="C52" s="13"/>
      <c r="D52" s="17"/>
      <c r="E52" s="17"/>
      <c r="F52" s="17"/>
      <c r="G52" s="17"/>
      <c r="H52" s="17"/>
      <c r="I52" s="17"/>
      <c r="J52" s="17"/>
      <c r="K52" s="17"/>
      <c r="L52" s="17"/>
      <c r="M52" s="12" t="str">
        <f>IF($B52="","",IFERROR(INDEX(Planting_Log!$B$5:$B$60,MATCH($B52,Planting_Log!$A$5:$A$60,0)),""))</f>
        <v/>
      </c>
      <c r="N52" s="18" t="str">
        <f>IF($B52="","",IFERROR(INDEX(Planting_Log!$D$5:$D$60,MATCH($B52,Planting_Log!$A$5:$A$60,0)),""))</f>
        <v/>
      </c>
      <c r="O52" s="12" t="str">
        <f t="shared" si="11"/>
        <v/>
      </c>
      <c r="P52" s="12" t="str">
        <f t="shared" si="12"/>
        <v/>
      </c>
      <c r="Q52" s="12" t="str">
        <f>IF($B52="","",IFERROR(INDEX(Planting_Log!$G$5:$G$60,MATCH($B52,Planting_Log!$A$5:$A$60,0)),""))</f>
        <v/>
      </c>
      <c r="R52" s="12" t="str">
        <f t="shared" si="13"/>
        <v/>
      </c>
      <c r="S52" s="12" t="str">
        <f t="shared" si="14"/>
        <v/>
      </c>
      <c r="T52" s="19" t="str">
        <f t="shared" si="15"/>
        <v/>
      </c>
      <c r="U52" s="19" t="str">
        <f t="shared" si="16"/>
        <v/>
      </c>
      <c r="V52" s="18" t="str">
        <f t="shared" si="17"/>
        <v/>
      </c>
      <c r="W52" s="12" t="str">
        <f t="shared" si="18"/>
        <v/>
      </c>
      <c r="X52" s="12" t="str">
        <f t="shared" si="19"/>
        <v/>
      </c>
      <c r="Y52" s="20" t="str">
        <f t="shared" si="20"/>
        <v/>
      </c>
      <c r="Z52" s="12" t="str">
        <f t="shared" si="21"/>
        <v/>
      </c>
    </row>
    <row r="53" spans="1:26" x14ac:dyDescent="0.35">
      <c r="A53" s="17"/>
      <c r="B53" s="17"/>
      <c r="C53" s="13"/>
      <c r="D53" s="17"/>
      <c r="E53" s="17"/>
      <c r="F53" s="17"/>
      <c r="G53" s="17"/>
      <c r="H53" s="17"/>
      <c r="I53" s="17"/>
      <c r="J53" s="17"/>
      <c r="K53" s="17"/>
      <c r="L53" s="17"/>
      <c r="M53" s="12" t="str">
        <f>IF($B53="","",IFERROR(INDEX(Planting_Log!$B$5:$B$60,MATCH($B53,Planting_Log!$A$5:$A$60,0)),""))</f>
        <v/>
      </c>
      <c r="N53" s="18" t="str">
        <f>IF($B53="","",IFERROR(INDEX(Planting_Log!$D$5:$D$60,MATCH($B53,Planting_Log!$A$5:$A$60,0)),""))</f>
        <v/>
      </c>
      <c r="O53" s="12" t="str">
        <f t="shared" si="11"/>
        <v/>
      </c>
      <c r="P53" s="12" t="str">
        <f t="shared" si="12"/>
        <v/>
      </c>
      <c r="Q53" s="12" t="str">
        <f>IF($B53="","",IFERROR(INDEX(Planting_Log!$G$5:$G$60,MATCH($B53,Planting_Log!$A$5:$A$60,0)),""))</f>
        <v/>
      </c>
      <c r="R53" s="12" t="str">
        <f t="shared" si="13"/>
        <v/>
      </c>
      <c r="S53" s="12" t="str">
        <f t="shared" si="14"/>
        <v/>
      </c>
      <c r="T53" s="19" t="str">
        <f t="shared" si="15"/>
        <v/>
      </c>
      <c r="U53" s="19" t="str">
        <f t="shared" si="16"/>
        <v/>
      </c>
      <c r="V53" s="18" t="str">
        <f t="shared" si="17"/>
        <v/>
      </c>
      <c r="W53" s="12" t="str">
        <f t="shared" si="18"/>
        <v/>
      </c>
      <c r="X53" s="12" t="str">
        <f t="shared" si="19"/>
        <v/>
      </c>
      <c r="Y53" s="20" t="str">
        <f t="shared" si="20"/>
        <v/>
      </c>
      <c r="Z53" s="12" t="str">
        <f t="shared" si="21"/>
        <v/>
      </c>
    </row>
    <row r="54" spans="1:26" x14ac:dyDescent="0.35">
      <c r="A54" s="17"/>
      <c r="B54" s="17"/>
      <c r="C54" s="13"/>
      <c r="D54" s="17"/>
      <c r="E54" s="17"/>
      <c r="F54" s="17"/>
      <c r="G54" s="17"/>
      <c r="H54" s="17"/>
      <c r="I54" s="17"/>
      <c r="J54" s="17"/>
      <c r="K54" s="17"/>
      <c r="L54" s="17"/>
      <c r="M54" s="12" t="str">
        <f>IF($B54="","",IFERROR(INDEX(Planting_Log!$B$5:$B$60,MATCH($B54,Planting_Log!$A$5:$A$60,0)),""))</f>
        <v/>
      </c>
      <c r="N54" s="18" t="str">
        <f>IF($B54="","",IFERROR(INDEX(Planting_Log!$D$5:$D$60,MATCH($B54,Planting_Log!$A$5:$A$60,0)),""))</f>
        <v/>
      </c>
      <c r="O54" s="12" t="str">
        <f t="shared" si="11"/>
        <v/>
      </c>
      <c r="P54" s="12" t="str">
        <f t="shared" si="12"/>
        <v/>
      </c>
      <c r="Q54" s="12" t="str">
        <f>IF($B54="","",IFERROR(INDEX(Planting_Log!$G$5:$G$60,MATCH($B54,Planting_Log!$A$5:$A$60,0)),""))</f>
        <v/>
      </c>
      <c r="R54" s="12" t="str">
        <f t="shared" si="13"/>
        <v/>
      </c>
      <c r="S54" s="12" t="str">
        <f t="shared" si="14"/>
        <v/>
      </c>
      <c r="T54" s="19" t="str">
        <f t="shared" si="15"/>
        <v/>
      </c>
      <c r="U54" s="19" t="str">
        <f t="shared" si="16"/>
        <v/>
      </c>
      <c r="V54" s="18" t="str">
        <f t="shared" si="17"/>
        <v/>
      </c>
      <c r="W54" s="12" t="str">
        <f t="shared" si="18"/>
        <v/>
      </c>
      <c r="X54" s="12" t="str">
        <f t="shared" si="19"/>
        <v/>
      </c>
      <c r="Y54" s="20" t="str">
        <f t="shared" si="20"/>
        <v/>
      </c>
      <c r="Z54" s="12" t="str">
        <f t="shared" si="21"/>
        <v/>
      </c>
    </row>
    <row r="55" spans="1:26" x14ac:dyDescent="0.35">
      <c r="A55" s="17"/>
      <c r="B55" s="17"/>
      <c r="C55" s="13"/>
      <c r="D55" s="17"/>
      <c r="E55" s="17"/>
      <c r="F55" s="17"/>
      <c r="G55" s="17"/>
      <c r="H55" s="17"/>
      <c r="I55" s="17"/>
      <c r="J55" s="17"/>
      <c r="K55" s="17"/>
      <c r="L55" s="17"/>
      <c r="M55" s="12" t="str">
        <f>IF($B55="","",IFERROR(INDEX(Planting_Log!$B$5:$B$60,MATCH($B55,Planting_Log!$A$5:$A$60,0)),""))</f>
        <v/>
      </c>
      <c r="N55" s="18" t="str">
        <f>IF($B55="","",IFERROR(INDEX(Planting_Log!$D$5:$D$60,MATCH($B55,Planting_Log!$A$5:$A$60,0)),""))</f>
        <v/>
      </c>
      <c r="O55" s="12" t="str">
        <f t="shared" si="11"/>
        <v/>
      </c>
      <c r="P55" s="12" t="str">
        <f t="shared" si="12"/>
        <v/>
      </c>
      <c r="Q55" s="12" t="str">
        <f>IF($B55="","",IFERROR(INDEX(Planting_Log!$G$5:$G$60,MATCH($B55,Planting_Log!$A$5:$A$60,0)),""))</f>
        <v/>
      </c>
      <c r="R55" s="12" t="str">
        <f t="shared" si="13"/>
        <v/>
      </c>
      <c r="S55" s="12" t="str">
        <f t="shared" si="14"/>
        <v/>
      </c>
      <c r="T55" s="19" t="str">
        <f t="shared" si="15"/>
        <v/>
      </c>
      <c r="U55" s="19" t="str">
        <f t="shared" si="16"/>
        <v/>
      </c>
      <c r="V55" s="18" t="str">
        <f t="shared" si="17"/>
        <v/>
      </c>
      <c r="W55" s="12" t="str">
        <f t="shared" si="18"/>
        <v/>
      </c>
      <c r="X55" s="12" t="str">
        <f t="shared" si="19"/>
        <v/>
      </c>
      <c r="Y55" s="20" t="str">
        <f t="shared" si="20"/>
        <v/>
      </c>
      <c r="Z55" s="12" t="str">
        <f t="shared" si="21"/>
        <v/>
      </c>
    </row>
    <row r="56" spans="1:26" x14ac:dyDescent="0.35">
      <c r="A56" s="17"/>
      <c r="B56" s="17"/>
      <c r="C56" s="13"/>
      <c r="D56" s="17"/>
      <c r="E56" s="17"/>
      <c r="F56" s="17"/>
      <c r="G56" s="17"/>
      <c r="H56" s="17"/>
      <c r="I56" s="17"/>
      <c r="J56" s="17"/>
      <c r="K56" s="17"/>
      <c r="L56" s="17"/>
      <c r="M56" s="12" t="str">
        <f>IF($B56="","",IFERROR(INDEX(Planting_Log!$B$5:$B$60,MATCH($B56,Planting_Log!$A$5:$A$60,0)),""))</f>
        <v/>
      </c>
      <c r="N56" s="18" t="str">
        <f>IF($B56="","",IFERROR(INDEX(Planting_Log!$D$5:$D$60,MATCH($B56,Planting_Log!$A$5:$A$60,0)),""))</f>
        <v/>
      </c>
      <c r="O56" s="12" t="str">
        <f t="shared" si="11"/>
        <v/>
      </c>
      <c r="P56" s="12" t="str">
        <f t="shared" si="12"/>
        <v/>
      </c>
      <c r="Q56" s="12" t="str">
        <f>IF($B56="","",IFERROR(INDEX(Planting_Log!$G$5:$G$60,MATCH($B56,Planting_Log!$A$5:$A$60,0)),""))</f>
        <v/>
      </c>
      <c r="R56" s="12" t="str">
        <f t="shared" si="13"/>
        <v/>
      </c>
      <c r="S56" s="12" t="str">
        <f t="shared" si="14"/>
        <v/>
      </c>
      <c r="T56" s="19" t="str">
        <f t="shared" si="15"/>
        <v/>
      </c>
      <c r="U56" s="19" t="str">
        <f t="shared" si="16"/>
        <v/>
      </c>
      <c r="V56" s="18" t="str">
        <f t="shared" si="17"/>
        <v/>
      </c>
      <c r="W56" s="12" t="str">
        <f t="shared" si="18"/>
        <v/>
      </c>
      <c r="X56" s="12" t="str">
        <f t="shared" si="19"/>
        <v/>
      </c>
      <c r="Y56" s="20" t="str">
        <f t="shared" si="20"/>
        <v/>
      </c>
      <c r="Z56" s="12" t="str">
        <f t="shared" si="21"/>
        <v/>
      </c>
    </row>
    <row r="57" spans="1:26" x14ac:dyDescent="0.35">
      <c r="A57" s="17"/>
      <c r="B57" s="17"/>
      <c r="C57" s="13"/>
      <c r="D57" s="17"/>
      <c r="E57" s="17"/>
      <c r="F57" s="17"/>
      <c r="G57" s="17"/>
      <c r="H57" s="17"/>
      <c r="I57" s="17"/>
      <c r="J57" s="17"/>
      <c r="K57" s="17"/>
      <c r="L57" s="17"/>
      <c r="M57" s="12" t="str">
        <f>IF($B57="","",IFERROR(INDEX(Planting_Log!$B$5:$B$60,MATCH($B57,Planting_Log!$A$5:$A$60,0)),""))</f>
        <v/>
      </c>
      <c r="N57" s="18" t="str">
        <f>IF($B57="","",IFERROR(INDEX(Planting_Log!$D$5:$D$60,MATCH($B57,Planting_Log!$A$5:$A$60,0)),""))</f>
        <v/>
      </c>
      <c r="O57" s="12" t="str">
        <f t="shared" si="11"/>
        <v/>
      </c>
      <c r="P57" s="12" t="str">
        <f t="shared" si="12"/>
        <v/>
      </c>
      <c r="Q57" s="12" t="str">
        <f>IF($B57="","",IFERROR(INDEX(Planting_Log!$G$5:$G$60,MATCH($B57,Planting_Log!$A$5:$A$60,0)),""))</f>
        <v/>
      </c>
      <c r="R57" s="12" t="str">
        <f t="shared" si="13"/>
        <v/>
      </c>
      <c r="S57" s="12" t="str">
        <f t="shared" si="14"/>
        <v/>
      </c>
      <c r="T57" s="19" t="str">
        <f t="shared" si="15"/>
        <v/>
      </c>
      <c r="U57" s="19" t="str">
        <f t="shared" si="16"/>
        <v/>
      </c>
      <c r="V57" s="18" t="str">
        <f t="shared" si="17"/>
        <v/>
      </c>
      <c r="W57" s="12" t="str">
        <f t="shared" si="18"/>
        <v/>
      </c>
      <c r="X57" s="12" t="str">
        <f t="shared" si="19"/>
        <v/>
      </c>
      <c r="Y57" s="20" t="str">
        <f t="shared" si="20"/>
        <v/>
      </c>
      <c r="Z57" s="12" t="str">
        <f t="shared" si="21"/>
        <v/>
      </c>
    </row>
    <row r="58" spans="1:26" x14ac:dyDescent="0.35">
      <c r="A58" s="17"/>
      <c r="B58" s="17"/>
      <c r="C58" s="13"/>
      <c r="D58" s="17"/>
      <c r="E58" s="17"/>
      <c r="F58" s="17"/>
      <c r="G58" s="17"/>
      <c r="H58" s="17"/>
      <c r="I58" s="17"/>
      <c r="J58" s="17"/>
      <c r="K58" s="17"/>
      <c r="L58" s="17"/>
      <c r="M58" s="12" t="str">
        <f>IF($B58="","",IFERROR(INDEX(Planting_Log!$B$5:$B$60,MATCH($B58,Planting_Log!$A$5:$A$60,0)),""))</f>
        <v/>
      </c>
      <c r="N58" s="18" t="str">
        <f>IF($B58="","",IFERROR(INDEX(Planting_Log!$D$5:$D$60,MATCH($B58,Planting_Log!$A$5:$A$60,0)),""))</f>
        <v/>
      </c>
      <c r="O58" s="12" t="str">
        <f t="shared" si="11"/>
        <v/>
      </c>
      <c r="P58" s="12" t="str">
        <f t="shared" si="12"/>
        <v/>
      </c>
      <c r="Q58" s="12" t="str">
        <f>IF($B58="","",IFERROR(INDEX(Planting_Log!$G$5:$G$60,MATCH($B58,Planting_Log!$A$5:$A$60,0)),""))</f>
        <v/>
      </c>
      <c r="R58" s="12" t="str">
        <f t="shared" si="13"/>
        <v/>
      </c>
      <c r="S58" s="12" t="str">
        <f t="shared" si="14"/>
        <v/>
      </c>
      <c r="T58" s="19" t="str">
        <f t="shared" si="15"/>
        <v/>
      </c>
      <c r="U58" s="19" t="str">
        <f t="shared" si="16"/>
        <v/>
      </c>
      <c r="V58" s="18" t="str">
        <f t="shared" si="17"/>
        <v/>
      </c>
      <c r="W58" s="12" t="str">
        <f t="shared" si="18"/>
        <v/>
      </c>
      <c r="X58" s="12" t="str">
        <f t="shared" si="19"/>
        <v/>
      </c>
      <c r="Y58" s="20" t="str">
        <f t="shared" si="20"/>
        <v/>
      </c>
      <c r="Z58" s="12" t="str">
        <f t="shared" si="21"/>
        <v/>
      </c>
    </row>
    <row r="59" spans="1:26" x14ac:dyDescent="0.35">
      <c r="A59" s="17"/>
      <c r="B59" s="17"/>
      <c r="C59" s="13"/>
      <c r="D59" s="17"/>
      <c r="E59" s="17"/>
      <c r="F59" s="17"/>
      <c r="G59" s="17"/>
      <c r="H59" s="17"/>
      <c r="I59" s="17"/>
      <c r="J59" s="17"/>
      <c r="K59" s="17"/>
      <c r="L59" s="17"/>
      <c r="M59" s="12" t="str">
        <f>IF($B59="","",IFERROR(INDEX(Planting_Log!$B$5:$B$60,MATCH($B59,Planting_Log!$A$5:$A$60,0)),""))</f>
        <v/>
      </c>
      <c r="N59" s="18" t="str">
        <f>IF($B59="","",IFERROR(INDEX(Planting_Log!$D$5:$D$60,MATCH($B59,Planting_Log!$A$5:$A$60,0)),""))</f>
        <v/>
      </c>
      <c r="O59" s="12" t="str">
        <f t="shared" si="11"/>
        <v/>
      </c>
      <c r="P59" s="12" t="str">
        <f t="shared" si="12"/>
        <v/>
      </c>
      <c r="Q59" s="12" t="str">
        <f>IF($B59="","",IFERROR(INDEX(Planting_Log!$G$5:$G$60,MATCH($B59,Planting_Log!$A$5:$A$60,0)),""))</f>
        <v/>
      </c>
      <c r="R59" s="12" t="str">
        <f t="shared" si="13"/>
        <v/>
      </c>
      <c r="S59" s="12" t="str">
        <f t="shared" si="14"/>
        <v/>
      </c>
      <c r="T59" s="19" t="str">
        <f t="shared" si="15"/>
        <v/>
      </c>
      <c r="U59" s="19" t="str">
        <f t="shared" si="16"/>
        <v/>
      </c>
      <c r="V59" s="18" t="str">
        <f t="shared" si="17"/>
        <v/>
      </c>
      <c r="W59" s="12" t="str">
        <f t="shared" si="18"/>
        <v/>
      </c>
      <c r="X59" s="12" t="str">
        <f t="shared" si="19"/>
        <v/>
      </c>
      <c r="Y59" s="20" t="str">
        <f t="shared" si="20"/>
        <v/>
      </c>
      <c r="Z59" s="12" t="str">
        <f t="shared" si="21"/>
        <v/>
      </c>
    </row>
    <row r="60" spans="1:26" x14ac:dyDescent="0.35">
      <c r="A60" s="17"/>
      <c r="B60" s="17"/>
      <c r="C60" s="13"/>
      <c r="D60" s="17"/>
      <c r="E60" s="17"/>
      <c r="F60" s="17"/>
      <c r="G60" s="17"/>
      <c r="H60" s="17"/>
      <c r="I60" s="17"/>
      <c r="J60" s="17"/>
      <c r="K60" s="17"/>
      <c r="L60" s="17"/>
      <c r="M60" s="12" t="str">
        <f>IF($B60="","",IFERROR(INDEX(Planting_Log!$B$5:$B$60,MATCH($B60,Planting_Log!$A$5:$A$60,0)),""))</f>
        <v/>
      </c>
      <c r="N60" s="18" t="str">
        <f>IF($B60="","",IFERROR(INDEX(Planting_Log!$D$5:$D$60,MATCH($B60,Planting_Log!$A$5:$A$60,0)),""))</f>
        <v/>
      </c>
      <c r="O60" s="12" t="str">
        <f t="shared" si="11"/>
        <v/>
      </c>
      <c r="P60" s="12" t="str">
        <f t="shared" si="12"/>
        <v/>
      </c>
      <c r="Q60" s="12" t="str">
        <f>IF($B60="","",IFERROR(INDEX(Planting_Log!$G$5:$G$60,MATCH($B60,Planting_Log!$A$5:$A$60,0)),""))</f>
        <v/>
      </c>
      <c r="R60" s="12" t="str">
        <f t="shared" si="13"/>
        <v/>
      </c>
      <c r="S60" s="12" t="str">
        <f t="shared" si="14"/>
        <v/>
      </c>
      <c r="T60" s="19" t="str">
        <f t="shared" si="15"/>
        <v/>
      </c>
      <c r="U60" s="19" t="str">
        <f t="shared" si="16"/>
        <v/>
      </c>
      <c r="V60" s="18" t="str">
        <f t="shared" si="17"/>
        <v/>
      </c>
      <c r="W60" s="12" t="str">
        <f t="shared" si="18"/>
        <v/>
      </c>
      <c r="X60" s="12" t="str">
        <f t="shared" si="19"/>
        <v/>
      </c>
      <c r="Y60" s="20" t="str">
        <f t="shared" si="20"/>
        <v/>
      </c>
      <c r="Z60" s="12" t="str">
        <f t="shared" si="21"/>
        <v/>
      </c>
    </row>
    <row r="61" spans="1:26" x14ac:dyDescent="0.35">
      <c r="A61" s="17"/>
      <c r="B61" s="17"/>
      <c r="C61" s="13"/>
      <c r="D61" s="17"/>
      <c r="E61" s="17"/>
      <c r="F61" s="17"/>
      <c r="G61" s="17"/>
      <c r="H61" s="17"/>
      <c r="I61" s="17"/>
      <c r="J61" s="17"/>
      <c r="K61" s="17"/>
      <c r="L61" s="17"/>
      <c r="M61" s="12" t="str">
        <f>IF($B61="","",IFERROR(INDEX(Planting_Log!$B$5:$B$60,MATCH($B61,Planting_Log!$A$5:$A$60,0)),""))</f>
        <v/>
      </c>
      <c r="N61" s="18" t="str">
        <f>IF($B61="","",IFERROR(INDEX(Planting_Log!$D$5:$D$60,MATCH($B61,Planting_Log!$A$5:$A$60,0)),""))</f>
        <v/>
      </c>
      <c r="O61" s="12" t="str">
        <f t="shared" si="11"/>
        <v/>
      </c>
      <c r="P61" s="12" t="str">
        <f t="shared" si="12"/>
        <v/>
      </c>
      <c r="Q61" s="12" t="str">
        <f>IF($B61="","",IFERROR(INDEX(Planting_Log!$G$5:$G$60,MATCH($B61,Planting_Log!$A$5:$A$60,0)),""))</f>
        <v/>
      </c>
      <c r="R61" s="12" t="str">
        <f t="shared" si="13"/>
        <v/>
      </c>
      <c r="S61" s="12" t="str">
        <f t="shared" si="14"/>
        <v/>
      </c>
      <c r="T61" s="19" t="str">
        <f t="shared" si="15"/>
        <v/>
      </c>
      <c r="U61" s="19" t="str">
        <f t="shared" si="16"/>
        <v/>
      </c>
      <c r="V61" s="18" t="str">
        <f t="shared" si="17"/>
        <v/>
      </c>
      <c r="W61" s="12" t="str">
        <f t="shared" si="18"/>
        <v/>
      </c>
      <c r="X61" s="12" t="str">
        <f t="shared" si="19"/>
        <v/>
      </c>
      <c r="Y61" s="20" t="str">
        <f t="shared" si="20"/>
        <v/>
      </c>
      <c r="Z61" s="12" t="str">
        <f t="shared" si="21"/>
        <v/>
      </c>
    </row>
    <row r="62" spans="1:26" x14ac:dyDescent="0.35">
      <c r="A62" s="17"/>
      <c r="B62" s="17"/>
      <c r="C62" s="13"/>
      <c r="D62" s="17"/>
      <c r="E62" s="17"/>
      <c r="F62" s="17"/>
      <c r="G62" s="17"/>
      <c r="H62" s="17"/>
      <c r="I62" s="17"/>
      <c r="J62" s="17"/>
      <c r="K62" s="17"/>
      <c r="L62" s="17"/>
      <c r="M62" s="12" t="str">
        <f>IF($B62="","",IFERROR(INDEX(Planting_Log!$B$5:$B$60,MATCH($B62,Planting_Log!$A$5:$A$60,0)),""))</f>
        <v/>
      </c>
      <c r="N62" s="18" t="str">
        <f>IF($B62="","",IFERROR(INDEX(Planting_Log!$D$5:$D$60,MATCH($B62,Planting_Log!$A$5:$A$60,0)),""))</f>
        <v/>
      </c>
      <c r="O62" s="12" t="str">
        <f t="shared" si="11"/>
        <v/>
      </c>
      <c r="P62" s="12" t="str">
        <f t="shared" si="12"/>
        <v/>
      </c>
      <c r="Q62" s="12" t="str">
        <f>IF($B62="","",IFERROR(INDEX(Planting_Log!$G$5:$G$60,MATCH($B62,Planting_Log!$A$5:$A$60,0)),""))</f>
        <v/>
      </c>
      <c r="R62" s="12" t="str">
        <f t="shared" si="13"/>
        <v/>
      </c>
      <c r="S62" s="12" t="str">
        <f t="shared" si="14"/>
        <v/>
      </c>
      <c r="T62" s="19" t="str">
        <f t="shared" si="15"/>
        <v/>
      </c>
      <c r="U62" s="19" t="str">
        <f t="shared" si="16"/>
        <v/>
      </c>
      <c r="V62" s="18" t="str">
        <f t="shared" si="17"/>
        <v/>
      </c>
      <c r="W62" s="12" t="str">
        <f t="shared" si="18"/>
        <v/>
      </c>
      <c r="X62" s="12" t="str">
        <f t="shared" si="19"/>
        <v/>
      </c>
      <c r="Y62" s="20" t="str">
        <f t="shared" si="20"/>
        <v/>
      </c>
      <c r="Z62" s="12" t="str">
        <f t="shared" si="21"/>
        <v/>
      </c>
    </row>
    <row r="63" spans="1:26" x14ac:dyDescent="0.35">
      <c r="A63" s="17"/>
      <c r="B63" s="17"/>
      <c r="C63" s="13"/>
      <c r="D63" s="17"/>
      <c r="E63" s="17"/>
      <c r="F63" s="17"/>
      <c r="G63" s="17"/>
      <c r="H63" s="17"/>
      <c r="I63" s="17"/>
      <c r="J63" s="17"/>
      <c r="K63" s="17"/>
      <c r="L63" s="17"/>
      <c r="M63" s="12" t="str">
        <f>IF($B63="","",IFERROR(INDEX(Planting_Log!$B$5:$B$60,MATCH($B63,Planting_Log!$A$5:$A$60,0)),""))</f>
        <v/>
      </c>
      <c r="N63" s="18" t="str">
        <f>IF($B63="","",IFERROR(INDEX(Planting_Log!$D$5:$D$60,MATCH($B63,Planting_Log!$A$5:$A$60,0)),""))</f>
        <v/>
      </c>
      <c r="O63" s="12" t="str">
        <f t="shared" si="11"/>
        <v/>
      </c>
      <c r="P63" s="12" t="str">
        <f t="shared" si="12"/>
        <v/>
      </c>
      <c r="Q63" s="12" t="str">
        <f>IF($B63="","",IFERROR(INDEX(Planting_Log!$G$5:$G$60,MATCH($B63,Planting_Log!$A$5:$A$60,0)),""))</f>
        <v/>
      </c>
      <c r="R63" s="12" t="str">
        <f t="shared" si="13"/>
        <v/>
      </c>
      <c r="S63" s="12" t="str">
        <f t="shared" si="14"/>
        <v/>
      </c>
      <c r="T63" s="19" t="str">
        <f t="shared" si="15"/>
        <v/>
      </c>
      <c r="U63" s="19" t="str">
        <f t="shared" si="16"/>
        <v/>
      </c>
      <c r="V63" s="18" t="str">
        <f t="shared" si="17"/>
        <v/>
      </c>
      <c r="W63" s="12" t="str">
        <f t="shared" si="18"/>
        <v/>
      </c>
      <c r="X63" s="12" t="str">
        <f t="shared" si="19"/>
        <v/>
      </c>
      <c r="Y63" s="20" t="str">
        <f t="shared" si="20"/>
        <v/>
      </c>
      <c r="Z63" s="12" t="str">
        <f t="shared" si="21"/>
        <v/>
      </c>
    </row>
    <row r="64" spans="1:26" x14ac:dyDescent="0.35">
      <c r="A64" s="17"/>
      <c r="B64" s="17"/>
      <c r="C64" s="13"/>
      <c r="D64" s="17"/>
      <c r="E64" s="17"/>
      <c r="F64" s="17"/>
      <c r="G64" s="17"/>
      <c r="H64" s="17"/>
      <c r="I64" s="17"/>
      <c r="J64" s="17"/>
      <c r="K64" s="17"/>
      <c r="L64" s="17"/>
      <c r="M64" s="12" t="str">
        <f>IF($B64="","",IFERROR(INDEX(Planting_Log!$B$5:$B$60,MATCH($B64,Planting_Log!$A$5:$A$60,0)),""))</f>
        <v/>
      </c>
      <c r="N64" s="18" t="str">
        <f>IF($B64="","",IFERROR(INDEX(Planting_Log!$D$5:$D$60,MATCH($B64,Planting_Log!$A$5:$A$60,0)),""))</f>
        <v/>
      </c>
      <c r="O64" s="12" t="str">
        <f t="shared" si="11"/>
        <v/>
      </c>
      <c r="P64" s="12" t="str">
        <f t="shared" si="12"/>
        <v/>
      </c>
      <c r="Q64" s="12" t="str">
        <f>IF($B64="","",IFERROR(INDEX(Planting_Log!$G$5:$G$60,MATCH($B64,Planting_Log!$A$5:$A$60,0)),""))</f>
        <v/>
      </c>
      <c r="R64" s="12" t="str">
        <f t="shared" si="13"/>
        <v/>
      </c>
      <c r="S64" s="12" t="str">
        <f t="shared" si="14"/>
        <v/>
      </c>
      <c r="T64" s="19" t="str">
        <f t="shared" si="15"/>
        <v/>
      </c>
      <c r="U64" s="19" t="str">
        <f t="shared" si="16"/>
        <v/>
      </c>
      <c r="V64" s="18" t="str">
        <f t="shared" si="17"/>
        <v/>
      </c>
      <c r="W64" s="12" t="str">
        <f t="shared" si="18"/>
        <v/>
      </c>
      <c r="X64" s="12" t="str">
        <f t="shared" si="19"/>
        <v/>
      </c>
      <c r="Y64" s="20" t="str">
        <f t="shared" si="20"/>
        <v/>
      </c>
      <c r="Z64" s="12" t="str">
        <f t="shared" si="21"/>
        <v/>
      </c>
    </row>
    <row r="65" spans="1:26" x14ac:dyDescent="0.35">
      <c r="A65" s="17"/>
      <c r="B65" s="17"/>
      <c r="C65" s="13"/>
      <c r="D65" s="17"/>
      <c r="E65" s="17"/>
      <c r="F65" s="17"/>
      <c r="G65" s="17"/>
      <c r="H65" s="17"/>
      <c r="I65" s="17"/>
      <c r="J65" s="17"/>
      <c r="K65" s="17"/>
      <c r="L65" s="17"/>
      <c r="M65" s="12" t="str">
        <f>IF($B65="","",IFERROR(INDEX(Planting_Log!$B$5:$B$60,MATCH($B65,Planting_Log!$A$5:$A$60,0)),""))</f>
        <v/>
      </c>
      <c r="N65" s="18" t="str">
        <f>IF($B65="","",IFERROR(INDEX(Planting_Log!$D$5:$D$60,MATCH($B65,Planting_Log!$A$5:$A$60,0)),""))</f>
        <v/>
      </c>
      <c r="O65" s="12" t="str">
        <f t="shared" si="11"/>
        <v/>
      </c>
      <c r="P65" s="12" t="str">
        <f t="shared" si="12"/>
        <v/>
      </c>
      <c r="Q65" s="12" t="str">
        <f>IF($B65="","",IFERROR(INDEX(Planting_Log!$G$5:$G$60,MATCH($B65,Planting_Log!$A$5:$A$60,0)),""))</f>
        <v/>
      </c>
      <c r="R65" s="12" t="str">
        <f t="shared" si="13"/>
        <v/>
      </c>
      <c r="S65" s="12" t="str">
        <f t="shared" si="14"/>
        <v/>
      </c>
      <c r="T65" s="19" t="str">
        <f t="shared" si="15"/>
        <v/>
      </c>
      <c r="U65" s="19" t="str">
        <f t="shared" si="16"/>
        <v/>
      </c>
      <c r="V65" s="18" t="str">
        <f t="shared" si="17"/>
        <v/>
      </c>
      <c r="W65" s="12" t="str">
        <f t="shared" si="18"/>
        <v/>
      </c>
      <c r="X65" s="12" t="str">
        <f t="shared" si="19"/>
        <v/>
      </c>
      <c r="Y65" s="20" t="str">
        <f t="shared" si="20"/>
        <v/>
      </c>
      <c r="Z65" s="12" t="str">
        <f t="shared" si="21"/>
        <v/>
      </c>
    </row>
    <row r="66" spans="1:26" x14ac:dyDescent="0.35">
      <c r="A66" s="17"/>
      <c r="B66" s="17"/>
      <c r="C66" s="13"/>
      <c r="D66" s="17"/>
      <c r="E66" s="17"/>
      <c r="F66" s="17"/>
      <c r="G66" s="17"/>
      <c r="H66" s="17"/>
      <c r="I66" s="17"/>
      <c r="J66" s="17"/>
      <c r="K66" s="17"/>
      <c r="L66" s="17"/>
      <c r="M66" s="12" t="str">
        <f>IF($B66="","",IFERROR(INDEX(Planting_Log!$B$5:$B$60,MATCH($B66,Planting_Log!$A$5:$A$60,0)),""))</f>
        <v/>
      </c>
      <c r="N66" s="18" t="str">
        <f>IF($B66="","",IFERROR(INDEX(Planting_Log!$D$5:$D$60,MATCH($B66,Planting_Log!$A$5:$A$60,0)),""))</f>
        <v/>
      </c>
      <c r="O66" s="12" t="str">
        <f t="shared" si="11"/>
        <v/>
      </c>
      <c r="P66" s="12" t="str">
        <f t="shared" si="12"/>
        <v/>
      </c>
      <c r="Q66" s="12" t="str">
        <f>IF($B66="","",IFERROR(INDEX(Planting_Log!$G$5:$G$60,MATCH($B66,Planting_Log!$A$5:$A$60,0)),""))</f>
        <v/>
      </c>
      <c r="R66" s="12" t="str">
        <f t="shared" si="13"/>
        <v/>
      </c>
      <c r="S66" s="12" t="str">
        <f t="shared" si="14"/>
        <v/>
      </c>
      <c r="T66" s="19" t="str">
        <f t="shared" si="15"/>
        <v/>
      </c>
      <c r="U66" s="19" t="str">
        <f t="shared" si="16"/>
        <v/>
      </c>
      <c r="V66" s="18" t="str">
        <f t="shared" si="17"/>
        <v/>
      </c>
      <c r="W66" s="12" t="str">
        <f t="shared" si="18"/>
        <v/>
      </c>
      <c r="X66" s="12" t="str">
        <f t="shared" si="19"/>
        <v/>
      </c>
      <c r="Y66" s="20" t="str">
        <f t="shared" si="20"/>
        <v/>
      </c>
      <c r="Z66" s="12" t="str">
        <f t="shared" si="21"/>
        <v/>
      </c>
    </row>
    <row r="67" spans="1:26" x14ac:dyDescent="0.35">
      <c r="A67" s="17"/>
      <c r="B67" s="17"/>
      <c r="C67" s="13"/>
      <c r="D67" s="17"/>
      <c r="E67" s="17"/>
      <c r="F67" s="17"/>
      <c r="G67" s="17"/>
      <c r="H67" s="17"/>
      <c r="I67" s="17"/>
      <c r="J67" s="17"/>
      <c r="K67" s="17"/>
      <c r="L67" s="17"/>
      <c r="M67" s="12" t="str">
        <f>IF($B67="","",IFERROR(INDEX(Planting_Log!$B$5:$B$60,MATCH($B67,Planting_Log!$A$5:$A$60,0)),""))</f>
        <v/>
      </c>
      <c r="N67" s="18" t="str">
        <f>IF($B67="","",IFERROR(INDEX(Planting_Log!$D$5:$D$60,MATCH($B67,Planting_Log!$A$5:$A$60,0)),""))</f>
        <v/>
      </c>
      <c r="O67" s="12" t="str">
        <f t="shared" si="11"/>
        <v/>
      </c>
      <c r="P67" s="12" t="str">
        <f t="shared" si="12"/>
        <v/>
      </c>
      <c r="Q67" s="12" t="str">
        <f>IF($B67="","",IFERROR(INDEX(Planting_Log!$G$5:$G$60,MATCH($B67,Planting_Log!$A$5:$A$60,0)),""))</f>
        <v/>
      </c>
      <c r="R67" s="12" t="str">
        <f t="shared" si="13"/>
        <v/>
      </c>
      <c r="S67" s="12" t="str">
        <f t="shared" si="14"/>
        <v/>
      </c>
      <c r="T67" s="19" t="str">
        <f t="shared" si="15"/>
        <v/>
      </c>
      <c r="U67" s="19" t="str">
        <f t="shared" si="16"/>
        <v/>
      </c>
      <c r="V67" s="18" t="str">
        <f t="shared" si="17"/>
        <v/>
      </c>
      <c r="W67" s="12" t="str">
        <f t="shared" si="18"/>
        <v/>
      </c>
      <c r="X67" s="12" t="str">
        <f t="shared" si="19"/>
        <v/>
      </c>
      <c r="Y67" s="20" t="str">
        <f t="shared" si="20"/>
        <v/>
      </c>
      <c r="Z67" s="12" t="str">
        <f t="shared" si="21"/>
        <v/>
      </c>
    </row>
    <row r="68" spans="1:26" x14ac:dyDescent="0.35">
      <c r="A68" s="17"/>
      <c r="B68" s="17"/>
      <c r="C68" s="13"/>
      <c r="D68" s="17"/>
      <c r="E68" s="17"/>
      <c r="F68" s="17"/>
      <c r="G68" s="17"/>
      <c r="H68" s="17"/>
      <c r="I68" s="17"/>
      <c r="J68" s="17"/>
      <c r="K68" s="17"/>
      <c r="L68" s="17"/>
      <c r="M68" s="12" t="str">
        <f>IF($B68="","",IFERROR(INDEX(Planting_Log!$B$5:$B$60,MATCH($B68,Planting_Log!$A$5:$A$60,0)),""))</f>
        <v/>
      </c>
      <c r="N68" s="18" t="str">
        <f>IF($B68="","",IFERROR(INDEX(Planting_Log!$D$5:$D$60,MATCH($B68,Planting_Log!$A$5:$A$60,0)),""))</f>
        <v/>
      </c>
      <c r="O68" s="12" t="str">
        <f t="shared" si="11"/>
        <v/>
      </c>
      <c r="P68" s="12" t="str">
        <f t="shared" si="12"/>
        <v/>
      </c>
      <c r="Q68" s="12" t="str">
        <f>IF($B68="","",IFERROR(INDEX(Planting_Log!$G$5:$G$60,MATCH($B68,Planting_Log!$A$5:$A$60,0)),""))</f>
        <v/>
      </c>
      <c r="R68" s="12" t="str">
        <f t="shared" si="13"/>
        <v/>
      </c>
      <c r="S68" s="12" t="str">
        <f t="shared" si="14"/>
        <v/>
      </c>
      <c r="T68" s="19" t="str">
        <f t="shared" si="15"/>
        <v/>
      </c>
      <c r="U68" s="19" t="str">
        <f t="shared" si="16"/>
        <v/>
      </c>
      <c r="V68" s="18" t="str">
        <f t="shared" si="17"/>
        <v/>
      </c>
      <c r="W68" s="12" t="str">
        <f t="shared" si="18"/>
        <v/>
      </c>
      <c r="X68" s="12" t="str">
        <f t="shared" si="19"/>
        <v/>
      </c>
      <c r="Y68" s="20" t="str">
        <f t="shared" si="20"/>
        <v/>
      </c>
      <c r="Z68" s="12" t="str">
        <f t="shared" si="21"/>
        <v/>
      </c>
    </row>
    <row r="69" spans="1:26" x14ac:dyDescent="0.35">
      <c r="A69" s="17"/>
      <c r="B69" s="17"/>
      <c r="C69" s="13"/>
      <c r="D69" s="17"/>
      <c r="E69" s="17"/>
      <c r="F69" s="17"/>
      <c r="G69" s="17"/>
      <c r="H69" s="17"/>
      <c r="I69" s="17"/>
      <c r="J69" s="17"/>
      <c r="K69" s="17"/>
      <c r="L69" s="17"/>
      <c r="M69" s="12" t="str">
        <f>IF($B69="","",IFERROR(INDEX(Planting_Log!$B$5:$B$60,MATCH($B69,Planting_Log!$A$5:$A$60,0)),""))</f>
        <v/>
      </c>
      <c r="N69" s="18" t="str">
        <f>IF($B69="","",IFERROR(INDEX(Planting_Log!$D$5:$D$60,MATCH($B69,Planting_Log!$A$5:$A$60,0)),""))</f>
        <v/>
      </c>
      <c r="O69" s="12" t="str">
        <f t="shared" ref="O69:O100" si="22">IF(OR(N69="",C69=""),"",ROUND((C69-N69)/30.44,1))</f>
        <v/>
      </c>
      <c r="P69" s="12" t="str">
        <f t="shared" ref="P69:P100" si="23">IF(O69="","",IF(O69&lt;2,1,IF(O69&lt;4.5,3,IF(O69&lt;7.5,6,IF(O69&lt;10.5,9,12)))))</f>
        <v/>
      </c>
      <c r="Q69" s="12" t="str">
        <f>IF($B69="","",IFERROR(INDEX(Planting_Log!$G$5:$G$60,MATCH($B69,Planting_Log!$A$5:$A$60,0)),""))</f>
        <v/>
      </c>
      <c r="R69" s="12" t="str">
        <f t="shared" ref="R69:R84" si="24">IF($B69="","",SUMIFS($K$5:$K$200,$B$5:$B$200,$B69,$C$5:$C$200,"&lt;"&amp;$C69))</f>
        <v/>
      </c>
      <c r="S69" s="12" t="str">
        <f t="shared" ref="S69:S100" si="25">IF(Q69="","",Q69+R69)</f>
        <v/>
      </c>
      <c r="T69" s="19" t="str">
        <f t="shared" ref="T69:T100" si="26">IF(OR(S69="",S69=0),"",F69/S69)</f>
        <v/>
      </c>
      <c r="U69" s="19" t="str">
        <f t="shared" ref="U69:U84" si="27">IF(OR(Q69="",Q69=0),"",F69/Q69)</f>
        <v/>
      </c>
      <c r="V69" s="18" t="str">
        <f t="shared" ref="V69:V84" si="28">IF($B69="","",IF(COUNTIFS($B$5:$B$200,$B69,$C$5:$C$200,"&lt;"&amp;$C69)=0,"",SUMPRODUCT(MAX(($B$5:$B$200=$B69)*($C$5:$C$200&lt;$C69)*$C$5:$C$200))))</f>
        <v/>
      </c>
      <c r="W69" s="12" t="str">
        <f t="shared" ref="W69:W100" si="29">IF(V69="","",SUMIFS($F$5:$F$200,$B$5:$B$200,$B69,$C$5:$C$200,V69))</f>
        <v/>
      </c>
      <c r="X69" s="12" t="str">
        <f t="shared" ref="X69:X84" si="30">IF($B69="","",IF(V69="",0,SUMIFS($K$5:$K$200,$B$5:$B$200,$B69,$C$5:$C$200,"&gt;="&amp;V69,$C$5:$C$200,"&lt;"&amp;$C69)))</f>
        <v/>
      </c>
      <c r="Y69" s="20" t="str">
        <f t="shared" ref="Y69:Y100" si="31">IF($B69="","",MID(IF(M69="","; Unknown plot","")&amp;IF(N69="","",IF(C69&lt;N69,"; Visit before planting",""))&amp;IF(S69="","",IF(F69+G69+H69&lt;&gt;S69,"; Count mismatch",""))&amp;IF(W69="","",IF(F69&gt;W69+X69,"; Alive rose without replanting",""))&amp;IF(COUNTIFS($B$5:$B$200,$B69,$C$5:$C$200,$C69)&gt;1,"; Duplicate visit","")&amp;IF(J69="","",IF(OR(J69&lt;HMin,J69&gt;HMax),"; Height out of range",""))&amp;IF(E69="","; No observer","")&amp;IF(G69+H69&gt;0,IF(I69="","; Loss without cause",""),""),3,300))</f>
        <v/>
      </c>
      <c r="Z69" s="12" t="str">
        <f t="shared" ref="Z69:Z100" si="32">IF($B69="","",IF(Y69="",0,1+LEN(Y69)-LEN(SUBSTITUTE(Y69,";",""))))</f>
        <v/>
      </c>
    </row>
    <row r="70" spans="1:26" x14ac:dyDescent="0.35">
      <c r="A70" s="17"/>
      <c r="B70" s="17"/>
      <c r="C70" s="13"/>
      <c r="D70" s="17"/>
      <c r="E70" s="17"/>
      <c r="F70" s="17"/>
      <c r="G70" s="17"/>
      <c r="H70" s="17"/>
      <c r="I70" s="17"/>
      <c r="J70" s="17"/>
      <c r="K70" s="17"/>
      <c r="L70" s="17"/>
      <c r="M70" s="12" t="str">
        <f>IF($B70="","",IFERROR(INDEX(Planting_Log!$B$5:$B$60,MATCH($B70,Planting_Log!$A$5:$A$60,0)),""))</f>
        <v/>
      </c>
      <c r="N70" s="18" t="str">
        <f>IF($B70="","",IFERROR(INDEX(Planting_Log!$D$5:$D$60,MATCH($B70,Planting_Log!$A$5:$A$60,0)),""))</f>
        <v/>
      </c>
      <c r="O70" s="12" t="str">
        <f t="shared" si="22"/>
        <v/>
      </c>
      <c r="P70" s="12" t="str">
        <f t="shared" si="23"/>
        <v/>
      </c>
      <c r="Q70" s="12" t="str">
        <f>IF($B70="","",IFERROR(INDEX(Planting_Log!$G$5:$G$60,MATCH($B70,Planting_Log!$A$5:$A$60,0)),""))</f>
        <v/>
      </c>
      <c r="R70" s="12" t="str">
        <f t="shared" si="24"/>
        <v/>
      </c>
      <c r="S70" s="12" t="str">
        <f t="shared" si="25"/>
        <v/>
      </c>
      <c r="T70" s="19" t="str">
        <f t="shared" si="26"/>
        <v/>
      </c>
      <c r="U70" s="19" t="str">
        <f t="shared" si="27"/>
        <v/>
      </c>
      <c r="V70" s="18" t="str">
        <f t="shared" si="28"/>
        <v/>
      </c>
      <c r="W70" s="12" t="str">
        <f t="shared" si="29"/>
        <v/>
      </c>
      <c r="X70" s="12" t="str">
        <f t="shared" si="30"/>
        <v/>
      </c>
      <c r="Y70" s="20" t="str">
        <f t="shared" si="31"/>
        <v/>
      </c>
      <c r="Z70" s="12" t="str">
        <f t="shared" si="32"/>
        <v/>
      </c>
    </row>
    <row r="71" spans="1:26" x14ac:dyDescent="0.35">
      <c r="A71" s="17"/>
      <c r="B71" s="17"/>
      <c r="C71" s="13"/>
      <c r="D71" s="17"/>
      <c r="E71" s="17"/>
      <c r="F71" s="17"/>
      <c r="G71" s="17"/>
      <c r="H71" s="17"/>
      <c r="I71" s="17"/>
      <c r="J71" s="17"/>
      <c r="K71" s="17"/>
      <c r="L71" s="17"/>
      <c r="M71" s="12" t="str">
        <f>IF($B71="","",IFERROR(INDEX(Planting_Log!$B$5:$B$60,MATCH($B71,Planting_Log!$A$5:$A$60,0)),""))</f>
        <v/>
      </c>
      <c r="N71" s="18" t="str">
        <f>IF($B71="","",IFERROR(INDEX(Planting_Log!$D$5:$D$60,MATCH($B71,Planting_Log!$A$5:$A$60,0)),""))</f>
        <v/>
      </c>
      <c r="O71" s="12" t="str">
        <f t="shared" si="22"/>
        <v/>
      </c>
      <c r="P71" s="12" t="str">
        <f t="shared" si="23"/>
        <v/>
      </c>
      <c r="Q71" s="12" t="str">
        <f>IF($B71="","",IFERROR(INDEX(Planting_Log!$G$5:$G$60,MATCH($B71,Planting_Log!$A$5:$A$60,0)),""))</f>
        <v/>
      </c>
      <c r="R71" s="12" t="str">
        <f t="shared" si="24"/>
        <v/>
      </c>
      <c r="S71" s="12" t="str">
        <f t="shared" si="25"/>
        <v/>
      </c>
      <c r="T71" s="19" t="str">
        <f t="shared" si="26"/>
        <v/>
      </c>
      <c r="U71" s="19" t="str">
        <f t="shared" si="27"/>
        <v/>
      </c>
      <c r="V71" s="18" t="str">
        <f t="shared" si="28"/>
        <v/>
      </c>
      <c r="W71" s="12" t="str">
        <f t="shared" si="29"/>
        <v/>
      </c>
      <c r="X71" s="12" t="str">
        <f t="shared" si="30"/>
        <v/>
      </c>
      <c r="Y71" s="20" t="str">
        <f t="shared" si="31"/>
        <v/>
      </c>
      <c r="Z71" s="12" t="str">
        <f t="shared" si="32"/>
        <v/>
      </c>
    </row>
    <row r="72" spans="1:26" x14ac:dyDescent="0.35">
      <c r="A72" s="17"/>
      <c r="B72" s="17"/>
      <c r="C72" s="13"/>
      <c r="D72" s="17"/>
      <c r="E72" s="17"/>
      <c r="F72" s="17"/>
      <c r="G72" s="17"/>
      <c r="H72" s="17"/>
      <c r="I72" s="17"/>
      <c r="J72" s="17"/>
      <c r="K72" s="17"/>
      <c r="L72" s="17"/>
      <c r="M72" s="12" t="str">
        <f>IF($B72="","",IFERROR(INDEX(Planting_Log!$B$5:$B$60,MATCH($B72,Planting_Log!$A$5:$A$60,0)),""))</f>
        <v/>
      </c>
      <c r="N72" s="18" t="str">
        <f>IF($B72="","",IFERROR(INDEX(Planting_Log!$D$5:$D$60,MATCH($B72,Planting_Log!$A$5:$A$60,0)),""))</f>
        <v/>
      </c>
      <c r="O72" s="12" t="str">
        <f t="shared" si="22"/>
        <v/>
      </c>
      <c r="P72" s="12" t="str">
        <f t="shared" si="23"/>
        <v/>
      </c>
      <c r="Q72" s="12" t="str">
        <f>IF($B72="","",IFERROR(INDEX(Planting_Log!$G$5:$G$60,MATCH($B72,Planting_Log!$A$5:$A$60,0)),""))</f>
        <v/>
      </c>
      <c r="R72" s="12" t="str">
        <f t="shared" si="24"/>
        <v/>
      </c>
      <c r="S72" s="12" t="str">
        <f t="shared" si="25"/>
        <v/>
      </c>
      <c r="T72" s="19" t="str">
        <f t="shared" si="26"/>
        <v/>
      </c>
      <c r="U72" s="19" t="str">
        <f t="shared" si="27"/>
        <v/>
      </c>
      <c r="V72" s="18" t="str">
        <f t="shared" si="28"/>
        <v/>
      </c>
      <c r="W72" s="12" t="str">
        <f t="shared" si="29"/>
        <v/>
      </c>
      <c r="X72" s="12" t="str">
        <f t="shared" si="30"/>
        <v/>
      </c>
      <c r="Y72" s="20" t="str">
        <f t="shared" si="31"/>
        <v/>
      </c>
      <c r="Z72" s="12" t="str">
        <f t="shared" si="32"/>
        <v/>
      </c>
    </row>
    <row r="73" spans="1:26" x14ac:dyDescent="0.35">
      <c r="A73" s="17"/>
      <c r="B73" s="17"/>
      <c r="C73" s="13"/>
      <c r="D73" s="17"/>
      <c r="E73" s="17"/>
      <c r="F73" s="17"/>
      <c r="G73" s="17"/>
      <c r="H73" s="17"/>
      <c r="I73" s="17"/>
      <c r="J73" s="17"/>
      <c r="K73" s="17"/>
      <c r="L73" s="17"/>
      <c r="M73" s="12" t="str">
        <f>IF($B73="","",IFERROR(INDEX(Planting_Log!$B$5:$B$60,MATCH($B73,Planting_Log!$A$5:$A$60,0)),""))</f>
        <v/>
      </c>
      <c r="N73" s="18" t="str">
        <f>IF($B73="","",IFERROR(INDEX(Planting_Log!$D$5:$D$60,MATCH($B73,Planting_Log!$A$5:$A$60,0)),""))</f>
        <v/>
      </c>
      <c r="O73" s="12" t="str">
        <f t="shared" si="22"/>
        <v/>
      </c>
      <c r="P73" s="12" t="str">
        <f t="shared" si="23"/>
        <v/>
      </c>
      <c r="Q73" s="12" t="str">
        <f>IF($B73="","",IFERROR(INDEX(Planting_Log!$G$5:$G$60,MATCH($B73,Planting_Log!$A$5:$A$60,0)),""))</f>
        <v/>
      </c>
      <c r="R73" s="12" t="str">
        <f t="shared" si="24"/>
        <v/>
      </c>
      <c r="S73" s="12" t="str">
        <f t="shared" si="25"/>
        <v/>
      </c>
      <c r="T73" s="19" t="str">
        <f t="shared" si="26"/>
        <v/>
      </c>
      <c r="U73" s="19" t="str">
        <f t="shared" si="27"/>
        <v/>
      </c>
      <c r="V73" s="18" t="str">
        <f t="shared" si="28"/>
        <v/>
      </c>
      <c r="W73" s="12" t="str">
        <f t="shared" si="29"/>
        <v/>
      </c>
      <c r="X73" s="12" t="str">
        <f t="shared" si="30"/>
        <v/>
      </c>
      <c r="Y73" s="20" t="str">
        <f t="shared" si="31"/>
        <v/>
      </c>
      <c r="Z73" s="12" t="str">
        <f t="shared" si="32"/>
        <v/>
      </c>
    </row>
    <row r="74" spans="1:26" x14ac:dyDescent="0.35">
      <c r="A74" s="17"/>
      <c r="B74" s="17"/>
      <c r="C74" s="13"/>
      <c r="D74" s="17"/>
      <c r="E74" s="17"/>
      <c r="F74" s="17"/>
      <c r="G74" s="17"/>
      <c r="H74" s="17"/>
      <c r="I74" s="17"/>
      <c r="J74" s="17"/>
      <c r="K74" s="17"/>
      <c r="L74" s="17"/>
      <c r="M74" s="12" t="str">
        <f>IF($B74="","",IFERROR(INDEX(Planting_Log!$B$5:$B$60,MATCH($B74,Planting_Log!$A$5:$A$60,0)),""))</f>
        <v/>
      </c>
      <c r="N74" s="18" t="str">
        <f>IF($B74="","",IFERROR(INDEX(Planting_Log!$D$5:$D$60,MATCH($B74,Planting_Log!$A$5:$A$60,0)),""))</f>
        <v/>
      </c>
      <c r="O74" s="12" t="str">
        <f t="shared" si="22"/>
        <v/>
      </c>
      <c r="P74" s="12" t="str">
        <f t="shared" si="23"/>
        <v/>
      </c>
      <c r="Q74" s="12" t="str">
        <f>IF($B74="","",IFERROR(INDEX(Planting_Log!$G$5:$G$60,MATCH($B74,Planting_Log!$A$5:$A$60,0)),""))</f>
        <v/>
      </c>
      <c r="R74" s="12" t="str">
        <f t="shared" si="24"/>
        <v/>
      </c>
      <c r="S74" s="12" t="str">
        <f t="shared" si="25"/>
        <v/>
      </c>
      <c r="T74" s="19" t="str">
        <f t="shared" si="26"/>
        <v/>
      </c>
      <c r="U74" s="19" t="str">
        <f t="shared" si="27"/>
        <v/>
      </c>
      <c r="V74" s="18" t="str">
        <f t="shared" si="28"/>
        <v/>
      </c>
      <c r="W74" s="12" t="str">
        <f t="shared" si="29"/>
        <v/>
      </c>
      <c r="X74" s="12" t="str">
        <f t="shared" si="30"/>
        <v/>
      </c>
      <c r="Y74" s="20" t="str">
        <f t="shared" si="31"/>
        <v/>
      </c>
      <c r="Z74" s="12" t="str">
        <f t="shared" si="32"/>
        <v/>
      </c>
    </row>
    <row r="75" spans="1:26" x14ac:dyDescent="0.35">
      <c r="A75" s="17"/>
      <c r="B75" s="17"/>
      <c r="C75" s="13"/>
      <c r="D75" s="17"/>
      <c r="E75" s="17"/>
      <c r="F75" s="17"/>
      <c r="G75" s="17"/>
      <c r="H75" s="17"/>
      <c r="I75" s="17"/>
      <c r="J75" s="17"/>
      <c r="K75" s="17"/>
      <c r="L75" s="17"/>
      <c r="M75" s="12" t="str">
        <f>IF($B75="","",IFERROR(INDEX(Planting_Log!$B$5:$B$60,MATCH($B75,Planting_Log!$A$5:$A$60,0)),""))</f>
        <v/>
      </c>
      <c r="N75" s="18" t="str">
        <f>IF($B75="","",IFERROR(INDEX(Planting_Log!$D$5:$D$60,MATCH($B75,Planting_Log!$A$5:$A$60,0)),""))</f>
        <v/>
      </c>
      <c r="O75" s="12" t="str">
        <f t="shared" si="22"/>
        <v/>
      </c>
      <c r="P75" s="12" t="str">
        <f t="shared" si="23"/>
        <v/>
      </c>
      <c r="Q75" s="12" t="str">
        <f>IF($B75="","",IFERROR(INDEX(Planting_Log!$G$5:$G$60,MATCH($B75,Planting_Log!$A$5:$A$60,0)),""))</f>
        <v/>
      </c>
      <c r="R75" s="12" t="str">
        <f t="shared" si="24"/>
        <v/>
      </c>
      <c r="S75" s="12" t="str">
        <f t="shared" si="25"/>
        <v/>
      </c>
      <c r="T75" s="19" t="str">
        <f t="shared" si="26"/>
        <v/>
      </c>
      <c r="U75" s="19" t="str">
        <f t="shared" si="27"/>
        <v/>
      </c>
      <c r="V75" s="18" t="str">
        <f t="shared" si="28"/>
        <v/>
      </c>
      <c r="W75" s="12" t="str">
        <f t="shared" si="29"/>
        <v/>
      </c>
      <c r="X75" s="12" t="str">
        <f t="shared" si="30"/>
        <v/>
      </c>
      <c r="Y75" s="20" t="str">
        <f t="shared" si="31"/>
        <v/>
      </c>
      <c r="Z75" s="12" t="str">
        <f t="shared" si="32"/>
        <v/>
      </c>
    </row>
    <row r="76" spans="1:26" x14ac:dyDescent="0.35">
      <c r="A76" s="17"/>
      <c r="B76" s="17"/>
      <c r="C76" s="13"/>
      <c r="D76" s="17"/>
      <c r="E76" s="17"/>
      <c r="F76" s="17"/>
      <c r="G76" s="17"/>
      <c r="H76" s="17"/>
      <c r="I76" s="17"/>
      <c r="J76" s="17"/>
      <c r="K76" s="17"/>
      <c r="L76" s="17"/>
      <c r="M76" s="12" t="str">
        <f>IF($B76="","",IFERROR(INDEX(Planting_Log!$B$5:$B$60,MATCH($B76,Planting_Log!$A$5:$A$60,0)),""))</f>
        <v/>
      </c>
      <c r="N76" s="18" t="str">
        <f>IF($B76="","",IFERROR(INDEX(Planting_Log!$D$5:$D$60,MATCH($B76,Planting_Log!$A$5:$A$60,0)),""))</f>
        <v/>
      </c>
      <c r="O76" s="12" t="str">
        <f t="shared" si="22"/>
        <v/>
      </c>
      <c r="P76" s="12" t="str">
        <f t="shared" si="23"/>
        <v/>
      </c>
      <c r="Q76" s="12" t="str">
        <f>IF($B76="","",IFERROR(INDEX(Planting_Log!$G$5:$G$60,MATCH($B76,Planting_Log!$A$5:$A$60,0)),""))</f>
        <v/>
      </c>
      <c r="R76" s="12" t="str">
        <f t="shared" si="24"/>
        <v/>
      </c>
      <c r="S76" s="12" t="str">
        <f t="shared" si="25"/>
        <v/>
      </c>
      <c r="T76" s="19" t="str">
        <f t="shared" si="26"/>
        <v/>
      </c>
      <c r="U76" s="19" t="str">
        <f t="shared" si="27"/>
        <v/>
      </c>
      <c r="V76" s="18" t="str">
        <f t="shared" si="28"/>
        <v/>
      </c>
      <c r="W76" s="12" t="str">
        <f t="shared" si="29"/>
        <v/>
      </c>
      <c r="X76" s="12" t="str">
        <f t="shared" si="30"/>
        <v/>
      </c>
      <c r="Y76" s="20" t="str">
        <f t="shared" si="31"/>
        <v/>
      </c>
      <c r="Z76" s="12" t="str">
        <f t="shared" si="32"/>
        <v/>
      </c>
    </row>
    <row r="77" spans="1:26" x14ac:dyDescent="0.35">
      <c r="A77" s="17"/>
      <c r="B77" s="17"/>
      <c r="C77" s="13"/>
      <c r="D77" s="17"/>
      <c r="E77" s="17"/>
      <c r="F77" s="17"/>
      <c r="G77" s="17"/>
      <c r="H77" s="17"/>
      <c r="I77" s="17"/>
      <c r="J77" s="17"/>
      <c r="K77" s="17"/>
      <c r="L77" s="17"/>
      <c r="M77" s="12" t="str">
        <f>IF($B77="","",IFERROR(INDEX(Planting_Log!$B$5:$B$60,MATCH($B77,Planting_Log!$A$5:$A$60,0)),""))</f>
        <v/>
      </c>
      <c r="N77" s="18" t="str">
        <f>IF($B77="","",IFERROR(INDEX(Planting_Log!$D$5:$D$60,MATCH($B77,Planting_Log!$A$5:$A$60,0)),""))</f>
        <v/>
      </c>
      <c r="O77" s="12" t="str">
        <f t="shared" si="22"/>
        <v/>
      </c>
      <c r="P77" s="12" t="str">
        <f t="shared" si="23"/>
        <v/>
      </c>
      <c r="Q77" s="12" t="str">
        <f>IF($B77="","",IFERROR(INDEX(Planting_Log!$G$5:$G$60,MATCH($B77,Planting_Log!$A$5:$A$60,0)),""))</f>
        <v/>
      </c>
      <c r="R77" s="12" t="str">
        <f t="shared" si="24"/>
        <v/>
      </c>
      <c r="S77" s="12" t="str">
        <f t="shared" si="25"/>
        <v/>
      </c>
      <c r="T77" s="19" t="str">
        <f t="shared" si="26"/>
        <v/>
      </c>
      <c r="U77" s="19" t="str">
        <f t="shared" si="27"/>
        <v/>
      </c>
      <c r="V77" s="18" t="str">
        <f t="shared" si="28"/>
        <v/>
      </c>
      <c r="W77" s="12" t="str">
        <f t="shared" si="29"/>
        <v/>
      </c>
      <c r="X77" s="12" t="str">
        <f t="shared" si="30"/>
        <v/>
      </c>
      <c r="Y77" s="20" t="str">
        <f t="shared" si="31"/>
        <v/>
      </c>
      <c r="Z77" s="12" t="str">
        <f t="shared" si="32"/>
        <v/>
      </c>
    </row>
    <row r="78" spans="1:26" x14ac:dyDescent="0.35">
      <c r="A78" s="17"/>
      <c r="B78" s="17"/>
      <c r="C78" s="13"/>
      <c r="D78" s="17"/>
      <c r="E78" s="17"/>
      <c r="F78" s="17"/>
      <c r="G78" s="17"/>
      <c r="H78" s="17"/>
      <c r="I78" s="17"/>
      <c r="J78" s="17"/>
      <c r="K78" s="17"/>
      <c r="L78" s="17"/>
      <c r="M78" s="12" t="str">
        <f>IF($B78="","",IFERROR(INDEX(Planting_Log!$B$5:$B$60,MATCH($B78,Planting_Log!$A$5:$A$60,0)),""))</f>
        <v/>
      </c>
      <c r="N78" s="18" t="str">
        <f>IF($B78="","",IFERROR(INDEX(Planting_Log!$D$5:$D$60,MATCH($B78,Planting_Log!$A$5:$A$60,0)),""))</f>
        <v/>
      </c>
      <c r="O78" s="12" t="str">
        <f t="shared" si="22"/>
        <v/>
      </c>
      <c r="P78" s="12" t="str">
        <f t="shared" si="23"/>
        <v/>
      </c>
      <c r="Q78" s="12" t="str">
        <f>IF($B78="","",IFERROR(INDEX(Planting_Log!$G$5:$G$60,MATCH($B78,Planting_Log!$A$5:$A$60,0)),""))</f>
        <v/>
      </c>
      <c r="R78" s="12" t="str">
        <f t="shared" si="24"/>
        <v/>
      </c>
      <c r="S78" s="12" t="str">
        <f t="shared" si="25"/>
        <v/>
      </c>
      <c r="T78" s="19" t="str">
        <f t="shared" si="26"/>
        <v/>
      </c>
      <c r="U78" s="19" t="str">
        <f t="shared" si="27"/>
        <v/>
      </c>
      <c r="V78" s="18" t="str">
        <f t="shared" si="28"/>
        <v/>
      </c>
      <c r="W78" s="12" t="str">
        <f t="shared" si="29"/>
        <v/>
      </c>
      <c r="X78" s="12" t="str">
        <f t="shared" si="30"/>
        <v/>
      </c>
      <c r="Y78" s="20" t="str">
        <f t="shared" si="31"/>
        <v/>
      </c>
      <c r="Z78" s="12" t="str">
        <f t="shared" si="32"/>
        <v/>
      </c>
    </row>
    <row r="79" spans="1:26" x14ac:dyDescent="0.35">
      <c r="A79" s="17"/>
      <c r="B79" s="17"/>
      <c r="C79" s="13"/>
      <c r="D79" s="17"/>
      <c r="E79" s="17"/>
      <c r="F79" s="17"/>
      <c r="G79" s="17"/>
      <c r="H79" s="17"/>
      <c r="I79" s="17"/>
      <c r="J79" s="17"/>
      <c r="K79" s="17"/>
      <c r="L79" s="17"/>
      <c r="M79" s="12" t="str">
        <f>IF($B79="","",IFERROR(INDEX(Planting_Log!$B$5:$B$60,MATCH($B79,Planting_Log!$A$5:$A$60,0)),""))</f>
        <v/>
      </c>
      <c r="N79" s="18" t="str">
        <f>IF($B79="","",IFERROR(INDEX(Planting_Log!$D$5:$D$60,MATCH($B79,Planting_Log!$A$5:$A$60,0)),""))</f>
        <v/>
      </c>
      <c r="O79" s="12" t="str">
        <f t="shared" si="22"/>
        <v/>
      </c>
      <c r="P79" s="12" t="str">
        <f t="shared" si="23"/>
        <v/>
      </c>
      <c r="Q79" s="12" t="str">
        <f>IF($B79="","",IFERROR(INDEX(Planting_Log!$G$5:$G$60,MATCH($B79,Planting_Log!$A$5:$A$60,0)),""))</f>
        <v/>
      </c>
      <c r="R79" s="12" t="str">
        <f t="shared" si="24"/>
        <v/>
      </c>
      <c r="S79" s="12" t="str">
        <f t="shared" si="25"/>
        <v/>
      </c>
      <c r="T79" s="19" t="str">
        <f t="shared" si="26"/>
        <v/>
      </c>
      <c r="U79" s="19" t="str">
        <f t="shared" si="27"/>
        <v/>
      </c>
      <c r="V79" s="18" t="str">
        <f t="shared" si="28"/>
        <v/>
      </c>
      <c r="W79" s="12" t="str">
        <f t="shared" si="29"/>
        <v/>
      </c>
      <c r="X79" s="12" t="str">
        <f t="shared" si="30"/>
        <v/>
      </c>
      <c r="Y79" s="20" t="str">
        <f t="shared" si="31"/>
        <v/>
      </c>
      <c r="Z79" s="12" t="str">
        <f t="shared" si="32"/>
        <v/>
      </c>
    </row>
    <row r="80" spans="1:26" x14ac:dyDescent="0.35">
      <c r="A80" s="17"/>
      <c r="B80" s="17"/>
      <c r="C80" s="13"/>
      <c r="D80" s="17"/>
      <c r="E80" s="17"/>
      <c r="F80" s="17"/>
      <c r="G80" s="17"/>
      <c r="H80" s="17"/>
      <c r="I80" s="17"/>
      <c r="J80" s="17"/>
      <c r="K80" s="17"/>
      <c r="L80" s="17"/>
      <c r="M80" s="12" t="str">
        <f>IF($B80="","",IFERROR(INDEX(Planting_Log!$B$5:$B$60,MATCH($B80,Planting_Log!$A$5:$A$60,0)),""))</f>
        <v/>
      </c>
      <c r="N80" s="18" t="str">
        <f>IF($B80="","",IFERROR(INDEX(Planting_Log!$D$5:$D$60,MATCH($B80,Planting_Log!$A$5:$A$60,0)),""))</f>
        <v/>
      </c>
      <c r="O80" s="12" t="str">
        <f t="shared" si="22"/>
        <v/>
      </c>
      <c r="P80" s="12" t="str">
        <f t="shared" si="23"/>
        <v/>
      </c>
      <c r="Q80" s="12" t="str">
        <f>IF($B80="","",IFERROR(INDEX(Planting_Log!$G$5:$G$60,MATCH($B80,Planting_Log!$A$5:$A$60,0)),""))</f>
        <v/>
      </c>
      <c r="R80" s="12" t="str">
        <f t="shared" si="24"/>
        <v/>
      </c>
      <c r="S80" s="12" t="str">
        <f t="shared" si="25"/>
        <v/>
      </c>
      <c r="T80" s="19" t="str">
        <f t="shared" si="26"/>
        <v/>
      </c>
      <c r="U80" s="19" t="str">
        <f t="shared" si="27"/>
        <v/>
      </c>
      <c r="V80" s="18" t="str">
        <f t="shared" si="28"/>
        <v/>
      </c>
      <c r="W80" s="12" t="str">
        <f t="shared" si="29"/>
        <v/>
      </c>
      <c r="X80" s="12" t="str">
        <f t="shared" si="30"/>
        <v/>
      </c>
      <c r="Y80" s="20" t="str">
        <f t="shared" si="31"/>
        <v/>
      </c>
      <c r="Z80" s="12" t="str">
        <f t="shared" si="32"/>
        <v/>
      </c>
    </row>
    <row r="81" spans="1:26" x14ac:dyDescent="0.35">
      <c r="A81" s="17"/>
      <c r="B81" s="17"/>
      <c r="C81" s="13"/>
      <c r="D81" s="17"/>
      <c r="E81" s="17"/>
      <c r="F81" s="17"/>
      <c r="G81" s="17"/>
      <c r="H81" s="17"/>
      <c r="I81" s="17"/>
      <c r="J81" s="17"/>
      <c r="K81" s="17"/>
      <c r="L81" s="17"/>
      <c r="M81" s="12" t="str">
        <f>IF($B81="","",IFERROR(INDEX(Planting_Log!$B$5:$B$60,MATCH($B81,Planting_Log!$A$5:$A$60,0)),""))</f>
        <v/>
      </c>
      <c r="N81" s="18" t="str">
        <f>IF($B81="","",IFERROR(INDEX(Planting_Log!$D$5:$D$60,MATCH($B81,Planting_Log!$A$5:$A$60,0)),""))</f>
        <v/>
      </c>
      <c r="O81" s="12" t="str">
        <f t="shared" si="22"/>
        <v/>
      </c>
      <c r="P81" s="12" t="str">
        <f t="shared" si="23"/>
        <v/>
      </c>
      <c r="Q81" s="12" t="str">
        <f>IF($B81="","",IFERROR(INDEX(Planting_Log!$G$5:$G$60,MATCH($B81,Planting_Log!$A$5:$A$60,0)),""))</f>
        <v/>
      </c>
      <c r="R81" s="12" t="str">
        <f t="shared" si="24"/>
        <v/>
      </c>
      <c r="S81" s="12" t="str">
        <f t="shared" si="25"/>
        <v/>
      </c>
      <c r="T81" s="19" t="str">
        <f t="shared" si="26"/>
        <v/>
      </c>
      <c r="U81" s="19" t="str">
        <f t="shared" si="27"/>
        <v/>
      </c>
      <c r="V81" s="18" t="str">
        <f t="shared" si="28"/>
        <v/>
      </c>
      <c r="W81" s="12" t="str">
        <f t="shared" si="29"/>
        <v/>
      </c>
      <c r="X81" s="12" t="str">
        <f t="shared" si="30"/>
        <v/>
      </c>
      <c r="Y81" s="20" t="str">
        <f t="shared" si="31"/>
        <v/>
      </c>
      <c r="Z81" s="12" t="str">
        <f t="shared" si="32"/>
        <v/>
      </c>
    </row>
    <row r="82" spans="1:26" x14ac:dyDescent="0.35">
      <c r="A82" s="17"/>
      <c r="B82" s="17"/>
      <c r="C82" s="13"/>
      <c r="D82" s="17"/>
      <c r="E82" s="17"/>
      <c r="F82" s="17"/>
      <c r="G82" s="17"/>
      <c r="H82" s="17"/>
      <c r="I82" s="17"/>
      <c r="J82" s="17"/>
      <c r="K82" s="17"/>
      <c r="L82" s="17"/>
      <c r="M82" s="12" t="str">
        <f>IF($B82="","",IFERROR(INDEX(Planting_Log!$B$5:$B$60,MATCH($B82,Planting_Log!$A$5:$A$60,0)),""))</f>
        <v/>
      </c>
      <c r="N82" s="18" t="str">
        <f>IF($B82="","",IFERROR(INDEX(Planting_Log!$D$5:$D$60,MATCH($B82,Planting_Log!$A$5:$A$60,0)),""))</f>
        <v/>
      </c>
      <c r="O82" s="12" t="str">
        <f t="shared" si="22"/>
        <v/>
      </c>
      <c r="P82" s="12" t="str">
        <f t="shared" si="23"/>
        <v/>
      </c>
      <c r="Q82" s="12" t="str">
        <f>IF($B82="","",IFERROR(INDEX(Planting_Log!$G$5:$G$60,MATCH($B82,Planting_Log!$A$5:$A$60,0)),""))</f>
        <v/>
      </c>
      <c r="R82" s="12" t="str">
        <f t="shared" si="24"/>
        <v/>
      </c>
      <c r="S82" s="12" t="str">
        <f t="shared" si="25"/>
        <v/>
      </c>
      <c r="T82" s="19" t="str">
        <f t="shared" si="26"/>
        <v/>
      </c>
      <c r="U82" s="19" t="str">
        <f t="shared" si="27"/>
        <v/>
      </c>
      <c r="V82" s="18" t="str">
        <f t="shared" si="28"/>
        <v/>
      </c>
      <c r="W82" s="12" t="str">
        <f t="shared" si="29"/>
        <v/>
      </c>
      <c r="X82" s="12" t="str">
        <f t="shared" si="30"/>
        <v/>
      </c>
      <c r="Y82" s="20" t="str">
        <f t="shared" si="31"/>
        <v/>
      </c>
      <c r="Z82" s="12" t="str">
        <f t="shared" si="32"/>
        <v/>
      </c>
    </row>
    <row r="83" spans="1:26" x14ac:dyDescent="0.35">
      <c r="A83" s="17"/>
      <c r="B83" s="17"/>
      <c r="C83" s="13"/>
      <c r="D83" s="17"/>
      <c r="E83" s="17"/>
      <c r="F83" s="17"/>
      <c r="G83" s="17"/>
      <c r="H83" s="17"/>
      <c r="I83" s="17"/>
      <c r="J83" s="17"/>
      <c r="K83" s="17"/>
      <c r="L83" s="17"/>
      <c r="M83" s="12" t="str">
        <f>IF($B83="","",IFERROR(INDEX(Planting_Log!$B$5:$B$60,MATCH($B83,Planting_Log!$A$5:$A$60,0)),""))</f>
        <v/>
      </c>
      <c r="N83" s="18" t="str">
        <f>IF($B83="","",IFERROR(INDEX(Planting_Log!$D$5:$D$60,MATCH($B83,Planting_Log!$A$5:$A$60,0)),""))</f>
        <v/>
      </c>
      <c r="O83" s="12" t="str">
        <f t="shared" si="22"/>
        <v/>
      </c>
      <c r="P83" s="12" t="str">
        <f t="shared" si="23"/>
        <v/>
      </c>
      <c r="Q83" s="12" t="str">
        <f>IF($B83="","",IFERROR(INDEX(Planting_Log!$G$5:$G$60,MATCH($B83,Planting_Log!$A$5:$A$60,0)),""))</f>
        <v/>
      </c>
      <c r="R83" s="12" t="str">
        <f t="shared" si="24"/>
        <v/>
      </c>
      <c r="S83" s="12" t="str">
        <f t="shared" si="25"/>
        <v/>
      </c>
      <c r="T83" s="19" t="str">
        <f t="shared" si="26"/>
        <v/>
      </c>
      <c r="U83" s="19" t="str">
        <f t="shared" si="27"/>
        <v/>
      </c>
      <c r="V83" s="18" t="str">
        <f t="shared" si="28"/>
        <v/>
      </c>
      <c r="W83" s="12" t="str">
        <f t="shared" si="29"/>
        <v/>
      </c>
      <c r="X83" s="12" t="str">
        <f t="shared" si="30"/>
        <v/>
      </c>
      <c r="Y83" s="20" t="str">
        <f t="shared" si="31"/>
        <v/>
      </c>
      <c r="Z83" s="12" t="str">
        <f t="shared" si="32"/>
        <v/>
      </c>
    </row>
    <row r="84" spans="1:26" x14ac:dyDescent="0.35">
      <c r="A84" s="17"/>
      <c r="B84" s="17"/>
      <c r="C84" s="13"/>
      <c r="D84" s="17"/>
      <c r="E84" s="17"/>
      <c r="F84" s="17"/>
      <c r="G84" s="17"/>
      <c r="H84" s="17"/>
      <c r="I84" s="17"/>
      <c r="J84" s="17"/>
      <c r="K84" s="17"/>
      <c r="L84" s="17"/>
      <c r="M84" s="12" t="str">
        <f>IF($B84="","",IFERROR(INDEX(Planting_Log!$B$5:$B$60,MATCH($B84,Planting_Log!$A$5:$A$60,0)),""))</f>
        <v/>
      </c>
      <c r="N84" s="18" t="str">
        <f>IF($B84="","",IFERROR(INDEX(Planting_Log!$D$5:$D$60,MATCH($B84,Planting_Log!$A$5:$A$60,0)),""))</f>
        <v/>
      </c>
      <c r="O84" s="12" t="str">
        <f t="shared" si="22"/>
        <v/>
      </c>
      <c r="P84" s="12" t="str">
        <f t="shared" si="23"/>
        <v/>
      </c>
      <c r="Q84" s="12" t="str">
        <f>IF($B84="","",IFERROR(INDEX(Planting_Log!$G$5:$G$60,MATCH($B84,Planting_Log!$A$5:$A$60,0)),""))</f>
        <v/>
      </c>
      <c r="R84" s="12" t="str">
        <f t="shared" si="24"/>
        <v/>
      </c>
      <c r="S84" s="12" t="str">
        <f t="shared" si="25"/>
        <v/>
      </c>
      <c r="T84" s="19" t="str">
        <f t="shared" si="26"/>
        <v/>
      </c>
      <c r="U84" s="19" t="str">
        <f t="shared" si="27"/>
        <v/>
      </c>
      <c r="V84" s="18" t="str">
        <f t="shared" si="28"/>
        <v/>
      </c>
      <c r="W84" s="12" t="str">
        <f t="shared" si="29"/>
        <v/>
      </c>
      <c r="X84" s="12" t="str">
        <f t="shared" si="30"/>
        <v/>
      </c>
      <c r="Y84" s="20" t="str">
        <f t="shared" si="31"/>
        <v/>
      </c>
      <c r="Z84" s="12" t="str">
        <f t="shared" si="32"/>
        <v/>
      </c>
    </row>
  </sheetData>
  <conditionalFormatting sqref="A5:Z84">
    <cfRule type="expression" dxfId="8" priority="1">
      <formula>AND($Z5&lt;&gt;"",$Z5&gt;0)</formula>
    </cfRule>
  </conditionalFormatting>
  <printOptions horizontalCentered="1"/>
  <pageMargins left="0.4" right="0.4" top="0.5" bottom="0.5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Not on the list" error="Pick a value from the list in Settings." xr:uid="{00000000-0002-0000-0400-000000000000}">
          <x14:formula1>
            <xm:f>Planting_Log!$A$5:$A$60</xm:f>
          </x14:formula1>
          <xm:sqref>B5:B84</xm:sqref>
        </x14:dataValidation>
        <x14:dataValidation type="list" allowBlank="1" showErrorMessage="1" errorTitle="Not on the list" error="Pick a value from the list in Settings." xr:uid="{00000000-0002-0000-0400-000001000000}">
          <x14:formula1>
            <xm:f>Settings!$I$4:$I$6</xm:f>
          </x14:formula1>
          <xm:sqref>D5:D84</xm:sqref>
        </x14:dataValidation>
        <x14:dataValidation type="list" allowBlank="1" showErrorMessage="1" errorTitle="Not on the list" error="Pick a value from the list in Settings." xr:uid="{00000000-0002-0000-0400-000002000000}">
          <x14:formula1>
            <xm:f>Settings!$H$4:$H$8</xm:f>
          </x14:formula1>
          <xm:sqref>E5:E84</xm:sqref>
        </x14:dataValidation>
        <x14:dataValidation type="list" allowBlank="1" showErrorMessage="1" errorTitle="Not on the list" error="Pick a value from the list in Settings." xr:uid="{00000000-0002-0000-0400-000003000000}">
          <x14:formula1>
            <xm:f>Settings!$G$4:$G$11</xm:f>
          </x14:formula1>
          <xm:sqref>I5:I84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24" customWidth="1"/>
    <col min="3" max="3" width="10" customWidth="1"/>
    <col min="4" max="5" width="12" customWidth="1"/>
    <col min="6" max="7" width="9" customWidth="1"/>
    <col min="8" max="8" width="11" customWidth="1"/>
    <col min="9" max="11" width="10" customWidth="1"/>
    <col min="12" max="12" width="17" customWidth="1"/>
    <col min="13" max="13" width="10" customWidth="1"/>
    <col min="14" max="14" width="9" customWidth="1"/>
    <col min="15" max="15" width="8" customWidth="1"/>
    <col min="16" max="16" width="46" customWidth="1"/>
    <col min="17" max="17" width="9" customWidth="1"/>
    <col min="18" max="18" width="16" customWidth="1"/>
    <col min="19" max="19" width="8" customWidth="1"/>
  </cols>
  <sheetData>
    <row r="1" spans="1:19" ht="19.5" x14ac:dyDescent="0.45">
      <c r="A1" s="1" t="s">
        <v>229</v>
      </c>
    </row>
    <row r="2" spans="1:19" x14ac:dyDescent="0.35">
      <c r="A2" s="2" t="s">
        <v>230</v>
      </c>
    </row>
    <row r="4" spans="1:19" ht="44" customHeight="1" x14ac:dyDescent="0.35">
      <c r="A4" s="10" t="s">
        <v>97</v>
      </c>
      <c r="B4" s="10" t="s">
        <v>98</v>
      </c>
      <c r="C4" s="10" t="s">
        <v>102</v>
      </c>
      <c r="D4" s="10" t="s">
        <v>100</v>
      </c>
      <c r="E4" s="10" t="s">
        <v>231</v>
      </c>
      <c r="F4" s="10" t="s">
        <v>232</v>
      </c>
      <c r="G4" s="10" t="s">
        <v>233</v>
      </c>
      <c r="H4" s="10" t="s">
        <v>234</v>
      </c>
      <c r="I4" s="10" t="s">
        <v>172</v>
      </c>
      <c r="J4" s="10" t="s">
        <v>171</v>
      </c>
      <c r="K4" s="10" t="s">
        <v>235</v>
      </c>
      <c r="L4" s="10" t="s">
        <v>236</v>
      </c>
      <c r="M4" s="10" t="s">
        <v>237</v>
      </c>
      <c r="N4" s="10" t="s">
        <v>238</v>
      </c>
      <c r="O4" s="10" t="s">
        <v>239</v>
      </c>
      <c r="P4" s="10" t="s">
        <v>240</v>
      </c>
      <c r="Q4" s="10" t="s">
        <v>241</v>
      </c>
      <c r="R4" s="10" t="s">
        <v>242</v>
      </c>
      <c r="S4" s="10" t="s">
        <v>63</v>
      </c>
    </row>
    <row r="5" spans="1:19" x14ac:dyDescent="0.35">
      <c r="A5" s="12" t="str">
        <f>IF(Planting_Log!A5="","",Planting_Log!A5)</f>
        <v>A01</v>
      </c>
      <c r="B5" s="12" t="str">
        <f>IF(A5="","",Planting_Log!B5)</f>
        <v>Site A - seaward fringe</v>
      </c>
      <c r="C5" s="12">
        <f>IF(A5="","",Planting_Log!G5)</f>
        <v>500</v>
      </c>
      <c r="D5" s="18">
        <f>IF(A5="","",Planting_Log!D5)</f>
        <v>45948</v>
      </c>
      <c r="E5" s="18">
        <f>IF(A5="","",IF(SUMPRODUCT((Monitoring!$B$5:$B$200=A5)*(Monitoring!$Z$5:$Z$200=0)*(Monitoring!$C$5:$C$200&lt;&gt;""))=0,"",SUMPRODUCT(MAX((Monitoring!$B$5:$B$200=A5)*(Monitoring!$Z$5:$Z$200=0)*Monitoring!$C$5:$C$200))))</f>
        <v>46158</v>
      </c>
      <c r="F5" s="12">
        <f t="shared" ref="F5:F16" si="0">IF(E5="","",IF((E5-D5)/30.44&lt;2,1,IF((E5-D5)/30.44&lt;4.5,3,IF((E5-D5)/30.44&lt;7.5,6,IF((E5-D5)/30.44&lt;10.5,9,12)))))</f>
        <v>6</v>
      </c>
      <c r="G5" s="12">
        <f>IF(E5="","",SUMIFS(Monitoring!$F$5:$F$200,Monitoring!$B$5:$B$200,A5,Monitoring!$C$5:$C$200,E5,Monitoring!$Z$5:$Z$200,0))</f>
        <v>286</v>
      </c>
      <c r="H5" s="12">
        <f>IF(E5="","",SUMIFS(Monitoring!$K$5:$K$200,Monitoring!$B$5:$B$200,A5,Monitoring!$C$5:$C$200,"&lt;"&amp;E5))</f>
        <v>0</v>
      </c>
      <c r="I5" s="19">
        <f t="shared" ref="I5:I16" si="1">IF(E5="","",G5/C5)</f>
        <v>0.57199999999999995</v>
      </c>
      <c r="J5" s="19">
        <f t="shared" ref="J5:J16" si="2">IF(E5="","",G5/(C5+H5))</f>
        <v>0.57199999999999995</v>
      </c>
      <c r="K5" s="12">
        <f>IF(E5="","",SUMIFS(Monitoring!$K$5:$K$200,Monitoring!$B$5:$B$200,A5,Monitoring!$C$5:$C$200,E5))</f>
        <v>115</v>
      </c>
      <c r="L5" s="12" t="str">
        <f t="shared" ref="L5:L16" si="3">IF(A5="","",IF(E5="","No clean census",IF(K5&gt;0,"Replanted, recheck",IF(AND(F5&gt;=TriggerMonth,I5&lt;Trigger),"Replant",IF(I5&lt;Trigger+WatchBand,"Watch","On track")))))</f>
        <v>Replanted, recheck</v>
      </c>
      <c r="M5" s="12">
        <f t="shared" ref="M5:M16" si="4">IF(L5="Replant",ROUNDUP(C5*Target-G5,0),0)</f>
        <v>0</v>
      </c>
      <c r="N5" s="12">
        <f t="shared" ref="N5:N16" si="5">IF(E5="","",ReportDate-E5)</f>
        <v>137</v>
      </c>
      <c r="O5" s="12">
        <f>IF(A5="","",COUNTIFS(Monitoring!$B$5:$B$200,A5,Monitoring!$Z$5:$Z$200,"&gt;0"))</f>
        <v>0</v>
      </c>
      <c r="P5" s="20" t="str">
        <f t="shared" ref="P5:P16" si="6">IF(A5="","",IF(L5="No clean census","Correct flagged rows, then recount",IF(L5="Replant","Replant "&amp;M5&amp;" seedlings with the partner group"&amp;IF(N5&gt;OverdueDays,"; census overdue",""),IF(N5&gt;OverdueDays,"Census overdue",IF(L5="Replanted, recheck","Recount at the next census",IF(L5="Watch","Check the cause at the next visit","Routine census")))))&amp;IF(O5&gt;0,"; fix "&amp;O5&amp;" flagged row"&amp;IF(O5&gt;1,"s",""),""))</f>
        <v>Census overdue</v>
      </c>
      <c r="Q5" s="12">
        <f t="shared" ref="Q5:Q16" si="7">IF(E5="","",C5+H5-G5)</f>
        <v>214</v>
      </c>
      <c r="R5" s="12" t="str">
        <f>IF(E5="","",INDEX(Monitoring!$I$5:$I$200,SUMPRODUCT((Monitoring!$B$5:$B$200=A5)*(Monitoring!$C$5:$C$200=E5)*(Monitoring!$Z$5:$Z$200=0)*(ROW(Monitoring!$B$5:$B$200)-4)))&amp;"")</f>
        <v>Wave/scour</v>
      </c>
      <c r="S5" s="19">
        <f t="shared" ref="S5:S16" si="8">IF(A5="","",Trigger)</f>
        <v>0.7</v>
      </c>
    </row>
    <row r="6" spans="1:19" x14ac:dyDescent="0.35">
      <c r="A6" s="12" t="str">
        <f>IF(Planting_Log!A6="","",Planting_Log!A6)</f>
        <v>A02</v>
      </c>
      <c r="B6" s="12" t="str">
        <f>IF(A6="","",Planting_Log!B6)</f>
        <v>Site A - seaward fringe</v>
      </c>
      <c r="C6" s="12">
        <f>IF(A6="","",Planting_Log!G6)</f>
        <v>500</v>
      </c>
      <c r="D6" s="18">
        <f>IF(A6="","",Planting_Log!D6)</f>
        <v>45948</v>
      </c>
      <c r="E6" s="18">
        <f>IF(A6="","",IF(SUMPRODUCT((Monitoring!$B$5:$B$200=A6)*(Monitoring!$Z$5:$Z$200=0)*(Monitoring!$C$5:$C$200&lt;&gt;""))=0,"",SUMPRODUCT(MAX((Monitoring!$B$5:$B$200=A6)*(Monitoring!$Z$5:$Z$200=0)*Monitoring!$C$5:$C$200))))</f>
        <v>46221</v>
      </c>
      <c r="F6" s="12">
        <f t="shared" si="0"/>
        <v>9</v>
      </c>
      <c r="G6" s="12">
        <f>IF(E6="","",SUMIFS(Monitoring!$F$5:$F$200,Monitoring!$B$5:$B$200,A6,Monitoring!$C$5:$C$200,E6,Monitoring!$Z$5:$Z$200,0))</f>
        <v>372</v>
      </c>
      <c r="H6" s="12">
        <f>IF(E6="","",SUMIFS(Monitoring!$K$5:$K$200,Monitoring!$B$5:$B$200,A6,Monitoring!$C$5:$C$200,"&lt;"&amp;E6))</f>
        <v>157</v>
      </c>
      <c r="I6" s="19">
        <f t="shared" si="1"/>
        <v>0.74399999999999999</v>
      </c>
      <c r="J6" s="19">
        <f t="shared" si="2"/>
        <v>0.56621004566210043</v>
      </c>
      <c r="K6" s="12">
        <f>IF(E6="","",SUMIFS(Monitoring!$K$5:$K$200,Monitoring!$B$5:$B$200,A6,Monitoring!$C$5:$C$200,E6))</f>
        <v>0</v>
      </c>
      <c r="L6" s="12" t="str">
        <f t="shared" si="3"/>
        <v>Watch</v>
      </c>
      <c r="M6" s="12">
        <f t="shared" si="4"/>
        <v>0</v>
      </c>
      <c r="N6" s="12">
        <f t="shared" si="5"/>
        <v>74</v>
      </c>
      <c r="O6" s="12">
        <f>IF(A6="","",COUNTIFS(Monitoring!$B$5:$B$200,A6,Monitoring!$Z$5:$Z$200,"&gt;0"))</f>
        <v>0</v>
      </c>
      <c r="P6" s="20" t="str">
        <f t="shared" si="6"/>
        <v>Check the cause at the next visit</v>
      </c>
      <c r="Q6" s="12">
        <f t="shared" si="7"/>
        <v>285</v>
      </c>
      <c r="R6" s="12" t="str">
        <f>IF(E6="","",INDEX(Monitoring!$I$5:$I$200,SUMPRODUCT((Monitoring!$B$5:$B$200=A6)*(Monitoring!$C$5:$C$200=E6)*(Monitoring!$Z$5:$Z$200=0)*(ROW(Monitoring!$B$5:$B$200)-4)))&amp;"")</f>
        <v>Barnacles</v>
      </c>
      <c r="S6" s="19">
        <f t="shared" si="8"/>
        <v>0.7</v>
      </c>
    </row>
    <row r="7" spans="1:19" x14ac:dyDescent="0.35">
      <c r="A7" s="12" t="str">
        <f>IF(Planting_Log!A7="","",Planting_Log!A7)</f>
        <v>A03</v>
      </c>
      <c r="B7" s="12" t="str">
        <f>IF(A7="","",Planting_Log!B7)</f>
        <v>Site A - seaward fringe</v>
      </c>
      <c r="C7" s="12">
        <f>IF(A7="","",Planting_Log!G7)</f>
        <v>500</v>
      </c>
      <c r="D7" s="18">
        <f>IF(A7="","",Planting_Log!D7)</f>
        <v>45948</v>
      </c>
      <c r="E7" s="18">
        <f>IF(A7="","",IF(SUMPRODUCT((Monitoring!$B$5:$B$200=A7)*(Monitoring!$Z$5:$Z$200=0)*(Monitoring!$C$5:$C$200&lt;&gt;""))=0,"",SUMPRODUCT(MAX((Monitoring!$B$5:$B$200=A7)*(Monitoring!$Z$5:$Z$200=0)*Monitoring!$C$5:$C$200))))</f>
        <v>46130</v>
      </c>
      <c r="F7" s="12">
        <f t="shared" si="0"/>
        <v>6</v>
      </c>
      <c r="G7" s="12">
        <f>IF(E7="","",SUMIFS(Monitoring!$F$5:$F$200,Monitoring!$B$5:$B$200,A7,Monitoring!$C$5:$C$200,E7,Monitoring!$Z$5:$Z$200,0))</f>
        <v>365</v>
      </c>
      <c r="H7" s="12">
        <f>IF(E7="","",SUMIFS(Monitoring!$K$5:$K$200,Monitoring!$B$5:$B$200,A7,Monitoring!$C$5:$C$200,"&lt;"&amp;E7))</f>
        <v>0</v>
      </c>
      <c r="I7" s="19">
        <f t="shared" si="1"/>
        <v>0.73</v>
      </c>
      <c r="J7" s="19">
        <f t="shared" si="2"/>
        <v>0.73</v>
      </c>
      <c r="K7" s="12">
        <f>IF(E7="","",SUMIFS(Monitoring!$K$5:$K$200,Monitoring!$B$5:$B$200,A7,Monitoring!$C$5:$C$200,E7))</f>
        <v>0</v>
      </c>
      <c r="L7" s="12" t="str">
        <f t="shared" si="3"/>
        <v>Watch</v>
      </c>
      <c r="M7" s="12">
        <f t="shared" si="4"/>
        <v>0</v>
      </c>
      <c r="N7" s="12">
        <f t="shared" si="5"/>
        <v>165</v>
      </c>
      <c r="O7" s="12">
        <f>IF(A7="","",COUNTIFS(Monitoring!$B$5:$B$200,A7,Monitoring!$Z$5:$Z$200,"&gt;0"))</f>
        <v>1</v>
      </c>
      <c r="P7" s="20" t="str">
        <f t="shared" si="6"/>
        <v>Census overdue; fix 1 flagged row</v>
      </c>
      <c r="Q7" s="12">
        <f t="shared" si="7"/>
        <v>135</v>
      </c>
      <c r="R7" s="12" t="str">
        <f>IF(E7="","",INDEX(Monitoring!$I$5:$I$200,SUMPRODUCT((Monitoring!$B$5:$B$200=A7)*(Monitoring!$C$5:$C$200=E7)*(Monitoring!$Z$5:$Z$200=0)*(ROW(Monitoring!$B$5:$B$200)-4)))&amp;"")</f>
        <v>Barnacles</v>
      </c>
      <c r="S7" s="19">
        <f t="shared" si="8"/>
        <v>0.7</v>
      </c>
    </row>
    <row r="8" spans="1:19" x14ac:dyDescent="0.35">
      <c r="A8" s="12" t="str">
        <f>IF(Planting_Log!A8="","",Planting_Log!A8)</f>
        <v>A04</v>
      </c>
      <c r="B8" s="12" t="str">
        <f>IF(A8="","",Planting_Log!B8)</f>
        <v>Site A - seaward fringe</v>
      </c>
      <c r="C8" s="12">
        <f>IF(A8="","",Planting_Log!G8)</f>
        <v>450</v>
      </c>
      <c r="D8" s="18">
        <f>IF(A8="","",Planting_Log!D8)</f>
        <v>45949</v>
      </c>
      <c r="E8" s="18">
        <f>IF(A8="","",IF(SUMPRODUCT((Monitoring!$B$5:$B$200=A8)*(Monitoring!$Z$5:$Z$200=0)*(Monitoring!$C$5:$C$200&lt;&gt;""))=0,"",SUMPRODUCT(MAX((Monitoring!$B$5:$B$200=A8)*(Monitoring!$Z$5:$Z$200=0)*Monitoring!$C$5:$C$200))))</f>
        <v>46130</v>
      </c>
      <c r="F8" s="12">
        <f t="shared" si="0"/>
        <v>6</v>
      </c>
      <c r="G8" s="12">
        <f>IF(E8="","",SUMIFS(Monitoring!$F$5:$F$200,Monitoring!$B$5:$B$200,A8,Monitoring!$C$5:$C$200,E8,Monitoring!$Z$5:$Z$200,0))</f>
        <v>300</v>
      </c>
      <c r="H8" s="12">
        <f>IF(E8="","",SUMIFS(Monitoring!$K$5:$K$200,Monitoring!$B$5:$B$200,A8,Monitoring!$C$5:$C$200,"&lt;"&amp;E8))</f>
        <v>0</v>
      </c>
      <c r="I8" s="19">
        <f t="shared" si="1"/>
        <v>0.66666666666666663</v>
      </c>
      <c r="J8" s="19">
        <f t="shared" si="2"/>
        <v>0.66666666666666663</v>
      </c>
      <c r="K8" s="12">
        <f>IF(E8="","",SUMIFS(Monitoring!$K$5:$K$200,Monitoring!$B$5:$B$200,A8,Monitoring!$C$5:$C$200,E8))</f>
        <v>0</v>
      </c>
      <c r="L8" s="12" t="str">
        <f t="shared" si="3"/>
        <v>Replant</v>
      </c>
      <c r="M8" s="12">
        <f t="shared" si="4"/>
        <v>60</v>
      </c>
      <c r="N8" s="12">
        <f t="shared" si="5"/>
        <v>165</v>
      </c>
      <c r="O8" s="12">
        <f>IF(A8="","",COUNTIFS(Monitoring!$B$5:$B$200,A8,Monitoring!$Z$5:$Z$200,"&gt;0"))</f>
        <v>0</v>
      </c>
      <c r="P8" s="20" t="str">
        <f t="shared" si="6"/>
        <v>Replant 60 seedlings with the partner group; census overdue</v>
      </c>
      <c r="Q8" s="12">
        <f t="shared" si="7"/>
        <v>150</v>
      </c>
      <c r="R8" s="12" t="str">
        <f>IF(E8="","",INDEX(Monitoring!$I$5:$I$200,SUMPRODUCT((Monitoring!$B$5:$B$200=A8)*(Monitoring!$C$5:$C$200=E8)*(Monitoring!$Z$5:$Z$200=0)*(ROW(Monitoring!$B$5:$B$200)-4)))&amp;"")</f>
        <v>Barnacles</v>
      </c>
      <c r="S8" s="19">
        <f t="shared" si="8"/>
        <v>0.7</v>
      </c>
    </row>
    <row r="9" spans="1:19" x14ac:dyDescent="0.35">
      <c r="A9" s="12" t="str">
        <f>IF(Planting_Log!A9="","",Planting_Log!A9)</f>
        <v>B01</v>
      </c>
      <c r="B9" s="12" t="str">
        <f>IF(A9="","",Planting_Log!B9)</f>
        <v>Site B - pond dyke</v>
      </c>
      <c r="C9" s="12">
        <f>IF(A9="","",Planting_Log!G9)</f>
        <v>600</v>
      </c>
      <c r="D9" s="18">
        <f>IF(A9="","",Planting_Log!D9)</f>
        <v>46046</v>
      </c>
      <c r="E9" s="18">
        <f>IF(A9="","",IF(SUMPRODUCT((Monitoring!$B$5:$B$200=A9)*(Monitoring!$Z$5:$Z$200=0)*(Monitoring!$C$5:$C$200&lt;&gt;""))=0,"",SUMPRODUCT(MAX((Monitoring!$B$5:$B$200=A9)*(Monitoring!$Z$5:$Z$200=0)*Monitoring!$C$5:$C$200))))</f>
        <v>46228</v>
      </c>
      <c r="F9" s="12">
        <f t="shared" si="0"/>
        <v>6</v>
      </c>
      <c r="G9" s="12">
        <f>IF(E9="","",SUMIFS(Monitoring!$F$5:$F$200,Monitoring!$B$5:$B$200,A9,Monitoring!$C$5:$C$200,E9,Monitoring!$Z$5:$Z$200,0))</f>
        <v>510</v>
      </c>
      <c r="H9" s="12">
        <f>IF(E9="","",SUMIFS(Monitoring!$K$5:$K$200,Monitoring!$B$5:$B$200,A9,Monitoring!$C$5:$C$200,"&lt;"&amp;E9))</f>
        <v>0</v>
      </c>
      <c r="I9" s="19">
        <f t="shared" si="1"/>
        <v>0.85</v>
      </c>
      <c r="J9" s="19">
        <f t="shared" si="2"/>
        <v>0.85</v>
      </c>
      <c r="K9" s="12">
        <f>IF(E9="","",SUMIFS(Monitoring!$K$5:$K$200,Monitoring!$B$5:$B$200,A9,Monitoring!$C$5:$C$200,E9))</f>
        <v>0</v>
      </c>
      <c r="L9" s="12" t="str">
        <f t="shared" si="3"/>
        <v>On track</v>
      </c>
      <c r="M9" s="12">
        <f t="shared" si="4"/>
        <v>0</v>
      </c>
      <c r="N9" s="12">
        <f t="shared" si="5"/>
        <v>67</v>
      </c>
      <c r="O9" s="12">
        <f>IF(A9="","",COUNTIFS(Monitoring!$B$5:$B$200,A9,Monitoring!$Z$5:$Z$200,"&gt;0"))</f>
        <v>1</v>
      </c>
      <c r="P9" s="20" t="str">
        <f t="shared" si="6"/>
        <v>Routine census; fix 1 flagged row</v>
      </c>
      <c r="Q9" s="12">
        <f t="shared" si="7"/>
        <v>90</v>
      </c>
      <c r="R9" s="12" t="str">
        <f>IF(E9="","",INDEX(Monitoring!$I$5:$I$200,SUMPRODUCT((Monitoring!$B$5:$B$200=A9)*(Monitoring!$C$5:$C$200=E9)*(Monitoring!$Z$5:$Z$200=0)*(ROW(Monitoring!$B$5:$B$200)-4)))&amp;"")</f>
        <v>Crab damage</v>
      </c>
      <c r="S9" s="19">
        <f t="shared" si="8"/>
        <v>0.7</v>
      </c>
    </row>
    <row r="10" spans="1:19" x14ac:dyDescent="0.35">
      <c r="A10" s="12" t="str">
        <f>IF(Planting_Log!A10="","",Planting_Log!A10)</f>
        <v>B02</v>
      </c>
      <c r="B10" s="12" t="str">
        <f>IF(A10="","",Planting_Log!B10)</f>
        <v>Site B - pond dyke</v>
      </c>
      <c r="C10" s="12">
        <f>IF(A10="","",Planting_Log!G10)</f>
        <v>600</v>
      </c>
      <c r="D10" s="18">
        <f>IF(A10="","",Planting_Log!D10)</f>
        <v>46046</v>
      </c>
      <c r="E10" s="18">
        <f>IF(A10="","",IF(SUMPRODUCT((Monitoring!$B$5:$B$200=A10)*(Monitoring!$Z$5:$Z$200=0)*(Monitoring!$C$5:$C$200&lt;&gt;""))=0,"",SUMPRODUCT(MAX((Monitoring!$B$5:$B$200=A10)*(Monitoring!$Z$5:$Z$200=0)*Monitoring!$C$5:$C$200))))</f>
        <v>46137</v>
      </c>
      <c r="F10" s="12">
        <f t="shared" si="0"/>
        <v>3</v>
      </c>
      <c r="G10" s="12">
        <f>IF(E10="","",SUMIFS(Monitoring!$F$5:$F$200,Monitoring!$B$5:$B$200,A10,Monitoring!$C$5:$C$200,E10,Monitoring!$Z$5:$Z$200,0))</f>
        <v>545</v>
      </c>
      <c r="H10" s="12">
        <f>IF(E10="","",SUMIFS(Monitoring!$K$5:$K$200,Monitoring!$B$5:$B$200,A10,Monitoring!$C$5:$C$200,"&lt;"&amp;E10))</f>
        <v>0</v>
      </c>
      <c r="I10" s="19">
        <f t="shared" si="1"/>
        <v>0.90833333333333333</v>
      </c>
      <c r="J10" s="19">
        <f t="shared" si="2"/>
        <v>0.90833333333333333</v>
      </c>
      <c r="K10" s="12">
        <f>IF(E10="","",SUMIFS(Monitoring!$K$5:$K$200,Monitoring!$B$5:$B$200,A10,Monitoring!$C$5:$C$200,E10))</f>
        <v>0</v>
      </c>
      <c r="L10" s="12" t="str">
        <f t="shared" si="3"/>
        <v>On track</v>
      </c>
      <c r="M10" s="12">
        <f t="shared" si="4"/>
        <v>0</v>
      </c>
      <c r="N10" s="12">
        <f t="shared" si="5"/>
        <v>158</v>
      </c>
      <c r="O10" s="12">
        <f>IF(A10="","",COUNTIFS(Monitoring!$B$5:$B$200,A10,Monitoring!$Z$5:$Z$200,"&gt;0"))</f>
        <v>1</v>
      </c>
      <c r="P10" s="20" t="str">
        <f t="shared" si="6"/>
        <v>Census overdue; fix 1 flagged row</v>
      </c>
      <c r="Q10" s="12">
        <f t="shared" si="7"/>
        <v>55</v>
      </c>
      <c r="R10" s="12" t="str">
        <f>IF(E10="","",INDEX(Monitoring!$I$5:$I$200,SUMPRODUCT((Monitoring!$B$5:$B$200=A10)*(Monitoring!$C$5:$C$200=E10)*(Monitoring!$Z$5:$Z$200=0)*(ROW(Monitoring!$B$5:$B$200)-4)))&amp;"")</f>
        <v>Crab damage</v>
      </c>
      <c r="S10" s="19">
        <f t="shared" si="8"/>
        <v>0.7</v>
      </c>
    </row>
    <row r="11" spans="1:19" x14ac:dyDescent="0.35">
      <c r="A11" s="12" t="str">
        <f>IF(Planting_Log!A11="","",Planting_Log!A11)</f>
        <v>B03</v>
      </c>
      <c r="B11" s="12" t="str">
        <f>IF(A11="","",Planting_Log!B11)</f>
        <v>Site B - pond dyke</v>
      </c>
      <c r="C11" s="12">
        <f>IF(A11="","",Planting_Log!G11)</f>
        <v>550</v>
      </c>
      <c r="D11" s="18">
        <f>IF(A11="","",Planting_Log!D11)</f>
        <v>46046</v>
      </c>
      <c r="E11" s="18">
        <f>IF(A11="","",IF(SUMPRODUCT((Monitoring!$B$5:$B$200=A11)*(Monitoring!$Z$5:$Z$200=0)*(Monitoring!$C$5:$C$200&lt;&gt;""))=0,"",SUMPRODUCT(MAX((Monitoring!$B$5:$B$200=A11)*(Monitoring!$Z$5:$Z$200=0)*Monitoring!$C$5:$C$200))))</f>
        <v>46228</v>
      </c>
      <c r="F11" s="12">
        <f t="shared" si="0"/>
        <v>6</v>
      </c>
      <c r="G11" s="12">
        <f>IF(E11="","",SUMIFS(Monitoring!$F$5:$F$200,Monitoring!$B$5:$B$200,A11,Monitoring!$C$5:$C$200,E11,Monitoring!$Z$5:$Z$200,0))</f>
        <v>365</v>
      </c>
      <c r="H11" s="12">
        <f>IF(E11="","",SUMIFS(Monitoring!$K$5:$K$200,Monitoring!$B$5:$B$200,A11,Monitoring!$C$5:$C$200,"&lt;"&amp;E11))</f>
        <v>0</v>
      </c>
      <c r="I11" s="19">
        <f t="shared" si="1"/>
        <v>0.66363636363636369</v>
      </c>
      <c r="J11" s="19">
        <f t="shared" si="2"/>
        <v>0.66363636363636369</v>
      </c>
      <c r="K11" s="12">
        <f>IF(E11="","",SUMIFS(Monitoring!$K$5:$K$200,Monitoring!$B$5:$B$200,A11,Monitoring!$C$5:$C$200,E11))</f>
        <v>0</v>
      </c>
      <c r="L11" s="12" t="str">
        <f t="shared" si="3"/>
        <v>Replant</v>
      </c>
      <c r="M11" s="12">
        <f t="shared" si="4"/>
        <v>75</v>
      </c>
      <c r="N11" s="12">
        <f t="shared" si="5"/>
        <v>67</v>
      </c>
      <c r="O11" s="12">
        <f>IF(A11="","",COUNTIFS(Monitoring!$B$5:$B$200,A11,Monitoring!$Z$5:$Z$200,"&gt;0"))</f>
        <v>0</v>
      </c>
      <c r="P11" s="20" t="str">
        <f t="shared" si="6"/>
        <v>Replant 75 seedlings with the partner group</v>
      </c>
      <c r="Q11" s="12">
        <f t="shared" si="7"/>
        <v>185</v>
      </c>
      <c r="R11" s="12" t="str">
        <f>IF(E11="","",INDEX(Monitoring!$I$5:$I$200,SUMPRODUCT((Monitoring!$B$5:$B$200=A11)*(Monitoring!$C$5:$C$200=E11)*(Monitoring!$Z$5:$Z$200=0)*(ROW(Monitoring!$B$5:$B$200)-4)))&amp;"")</f>
        <v>Sediment burial</v>
      </c>
      <c r="S11" s="19">
        <f t="shared" si="8"/>
        <v>0.7</v>
      </c>
    </row>
    <row r="12" spans="1:19" x14ac:dyDescent="0.35">
      <c r="A12" s="12" t="str">
        <f>IF(Planting_Log!A12="","",Planting_Log!A12)</f>
        <v>B04</v>
      </c>
      <c r="B12" s="12" t="str">
        <f>IF(A12="","",Planting_Log!B12)</f>
        <v>Site B - pond dyke</v>
      </c>
      <c r="C12" s="12">
        <f>IF(A12="","",Planting_Log!G12)</f>
        <v>600</v>
      </c>
      <c r="D12" s="18">
        <f>IF(A12="","",Planting_Log!D12)</f>
        <v>46046</v>
      </c>
      <c r="E12" s="18">
        <f>IF(A12="","",IF(SUMPRODUCT((Monitoring!$B$5:$B$200=A12)*(Monitoring!$Z$5:$Z$200=0)*(Monitoring!$C$5:$C$200&lt;&gt;""))=0,"",SUMPRODUCT(MAX((Monitoring!$B$5:$B$200=A12)*(Monitoring!$Z$5:$Z$200=0)*Monitoring!$C$5:$C$200))))</f>
        <v>46228</v>
      </c>
      <c r="F12" s="12">
        <f t="shared" si="0"/>
        <v>6</v>
      </c>
      <c r="G12" s="12">
        <f>IF(E12="","",SUMIFS(Monitoring!$F$5:$F$200,Monitoring!$B$5:$B$200,A12,Monitoring!$C$5:$C$200,E12,Monitoring!$Z$5:$Z$200,0))</f>
        <v>535</v>
      </c>
      <c r="H12" s="12">
        <f>IF(E12="","",SUMIFS(Monitoring!$K$5:$K$200,Monitoring!$B$5:$B$200,A12,Monitoring!$C$5:$C$200,"&lt;"&amp;E12))</f>
        <v>0</v>
      </c>
      <c r="I12" s="19">
        <f t="shared" si="1"/>
        <v>0.89166666666666672</v>
      </c>
      <c r="J12" s="19">
        <f t="shared" si="2"/>
        <v>0.89166666666666672</v>
      </c>
      <c r="K12" s="12">
        <f>IF(E12="","",SUMIFS(Monitoring!$K$5:$K$200,Monitoring!$B$5:$B$200,A12,Monitoring!$C$5:$C$200,E12))</f>
        <v>0</v>
      </c>
      <c r="L12" s="12" t="str">
        <f t="shared" si="3"/>
        <v>On track</v>
      </c>
      <c r="M12" s="12">
        <f t="shared" si="4"/>
        <v>0</v>
      </c>
      <c r="N12" s="12">
        <f t="shared" si="5"/>
        <v>67</v>
      </c>
      <c r="O12" s="12">
        <f>IF(A12="","",COUNTIFS(Monitoring!$B$5:$B$200,A12,Monitoring!$Z$5:$Z$200,"&gt;0"))</f>
        <v>1</v>
      </c>
      <c r="P12" s="20" t="str">
        <f t="shared" si="6"/>
        <v>Routine census; fix 1 flagged row</v>
      </c>
      <c r="Q12" s="12">
        <f t="shared" si="7"/>
        <v>65</v>
      </c>
      <c r="R12" s="12" t="str">
        <f>IF(E12="","",INDEX(Monitoring!$I$5:$I$200,SUMPRODUCT((Monitoring!$B$5:$B$200=A12)*(Monitoring!$C$5:$C$200=E12)*(Monitoring!$Z$5:$Z$200=0)*(ROW(Monitoring!$B$5:$B$200)-4)))&amp;"")</f>
        <v>Crab damage</v>
      </c>
      <c r="S12" s="19">
        <f t="shared" si="8"/>
        <v>0.7</v>
      </c>
    </row>
    <row r="13" spans="1:19" x14ac:dyDescent="0.35">
      <c r="A13" s="12" t="str">
        <f>IF(Planting_Log!A13="","",Planting_Log!A13)</f>
        <v>C01</v>
      </c>
      <c r="B13" s="12" t="str">
        <f>IF(A13="","",Planting_Log!B13)</f>
        <v>Site C - sheltered lagoon</v>
      </c>
      <c r="C13" s="12">
        <f>IF(A13="","",Planting_Log!G13)</f>
        <v>400</v>
      </c>
      <c r="D13" s="18">
        <f>IF(A13="","",Planting_Log!D13)</f>
        <v>46095</v>
      </c>
      <c r="E13" s="18">
        <f>IF(A13="","",IF(SUMPRODUCT((Monitoring!$B$5:$B$200=A13)*(Monitoring!$Z$5:$Z$200=0)*(Monitoring!$C$5:$C$200&lt;&gt;""))=0,"",SUMPRODUCT(MAX((Monitoring!$B$5:$B$200=A13)*(Monitoring!$Z$5:$Z$200=0)*Monitoring!$C$5:$C$200))))</f>
        <v>46277</v>
      </c>
      <c r="F13" s="12">
        <f t="shared" si="0"/>
        <v>6</v>
      </c>
      <c r="G13" s="12">
        <f>IF(E13="","",SUMIFS(Monitoring!$F$5:$F$200,Monitoring!$B$5:$B$200,A13,Monitoring!$C$5:$C$200,E13,Monitoring!$Z$5:$Z$200,0))</f>
        <v>340</v>
      </c>
      <c r="H13" s="12">
        <f>IF(E13="","",SUMIFS(Monitoring!$K$5:$K$200,Monitoring!$B$5:$B$200,A13,Monitoring!$C$5:$C$200,"&lt;"&amp;E13))</f>
        <v>0</v>
      </c>
      <c r="I13" s="19">
        <f t="shared" si="1"/>
        <v>0.85</v>
      </c>
      <c r="J13" s="19">
        <f t="shared" si="2"/>
        <v>0.85</v>
      </c>
      <c r="K13" s="12">
        <f>IF(E13="","",SUMIFS(Monitoring!$K$5:$K$200,Monitoring!$B$5:$B$200,A13,Monitoring!$C$5:$C$200,E13))</f>
        <v>0</v>
      </c>
      <c r="L13" s="12" t="str">
        <f t="shared" si="3"/>
        <v>On track</v>
      </c>
      <c r="M13" s="12">
        <f t="shared" si="4"/>
        <v>0</v>
      </c>
      <c r="N13" s="12">
        <f t="shared" si="5"/>
        <v>18</v>
      </c>
      <c r="O13" s="12">
        <f>IF(A13="","",COUNTIFS(Monitoring!$B$5:$B$200,A13,Monitoring!$Z$5:$Z$200,"&gt;0"))</f>
        <v>1</v>
      </c>
      <c r="P13" s="20" t="str">
        <f t="shared" si="6"/>
        <v>Routine census; fix 1 flagged row</v>
      </c>
      <c r="Q13" s="12">
        <f t="shared" si="7"/>
        <v>60</v>
      </c>
      <c r="R13" s="12" t="str">
        <f>IF(E13="","",INDEX(Monitoring!$I$5:$I$200,SUMPRODUCT((Monitoring!$B$5:$B$200=A13)*(Monitoring!$C$5:$C$200=E13)*(Monitoring!$Z$5:$Z$200=0)*(ROW(Monitoring!$B$5:$B$200)-4)))&amp;"")</f>
        <v>Debris/plastic</v>
      </c>
      <c r="S13" s="19">
        <f t="shared" si="8"/>
        <v>0.7</v>
      </c>
    </row>
    <row r="14" spans="1:19" x14ac:dyDescent="0.35">
      <c r="A14" s="12" t="str">
        <f>IF(Planting_Log!A14="","",Planting_Log!A14)</f>
        <v>C02</v>
      </c>
      <c r="B14" s="12" t="str">
        <f>IF(A14="","",Planting_Log!B14)</f>
        <v>Site C - sheltered lagoon</v>
      </c>
      <c r="C14" s="12">
        <f>IF(A14="","",Planting_Log!G14)</f>
        <v>400</v>
      </c>
      <c r="D14" s="18">
        <f>IF(A14="","",Planting_Log!D14)</f>
        <v>46095</v>
      </c>
      <c r="E14" s="18">
        <f>IF(A14="","",IF(SUMPRODUCT((Monitoring!$B$5:$B$200=A14)*(Monitoring!$Z$5:$Z$200=0)*(Monitoring!$C$5:$C$200&lt;&gt;""))=0,"",SUMPRODUCT(MAX((Monitoring!$B$5:$B$200=A14)*(Monitoring!$Z$5:$Z$200=0)*Monitoring!$C$5:$C$200))))</f>
        <v>46277</v>
      </c>
      <c r="F14" s="12">
        <f t="shared" si="0"/>
        <v>6</v>
      </c>
      <c r="G14" s="12">
        <f>IF(E14="","",SUMIFS(Monitoring!$F$5:$F$200,Monitoring!$B$5:$B$200,A14,Monitoring!$C$5:$C$200,E14,Monitoring!$Z$5:$Z$200,0))</f>
        <v>290</v>
      </c>
      <c r="H14" s="12">
        <f>IF(E14="","",SUMIFS(Monitoring!$K$5:$K$200,Monitoring!$B$5:$B$200,A14,Monitoring!$C$5:$C$200,"&lt;"&amp;E14))</f>
        <v>0</v>
      </c>
      <c r="I14" s="19">
        <f t="shared" si="1"/>
        <v>0.72499999999999998</v>
      </c>
      <c r="J14" s="19">
        <f t="shared" si="2"/>
        <v>0.72499999999999998</v>
      </c>
      <c r="K14" s="12">
        <f>IF(E14="","",SUMIFS(Monitoring!$K$5:$K$200,Monitoring!$B$5:$B$200,A14,Monitoring!$C$5:$C$200,E14))</f>
        <v>0</v>
      </c>
      <c r="L14" s="12" t="str">
        <f t="shared" si="3"/>
        <v>Watch</v>
      </c>
      <c r="M14" s="12">
        <f t="shared" si="4"/>
        <v>0</v>
      </c>
      <c r="N14" s="12">
        <f t="shared" si="5"/>
        <v>18</v>
      </c>
      <c r="O14" s="12">
        <f>IF(A14="","",COUNTIFS(Monitoring!$B$5:$B$200,A14,Monitoring!$Z$5:$Z$200,"&gt;0"))</f>
        <v>0</v>
      </c>
      <c r="P14" s="20" t="str">
        <f t="shared" si="6"/>
        <v>Check the cause at the next visit</v>
      </c>
      <c r="Q14" s="12">
        <f t="shared" si="7"/>
        <v>110</v>
      </c>
      <c r="R14" s="12" t="str">
        <f>IF(E14="","",INDEX(Monitoring!$I$5:$I$200,SUMPRODUCT((Monitoring!$B$5:$B$200=A14)*(Monitoring!$C$5:$C$200=E14)*(Monitoring!$Z$5:$Z$200=0)*(ROW(Monitoring!$B$5:$B$200)-4)))&amp;"")</f>
        <v>Grazing</v>
      </c>
      <c r="S14" s="19">
        <f t="shared" si="8"/>
        <v>0.7</v>
      </c>
    </row>
    <row r="15" spans="1:19" x14ac:dyDescent="0.35">
      <c r="A15" s="12" t="str">
        <f>IF(Planting_Log!A15="","",Planting_Log!A15)</f>
        <v>C03</v>
      </c>
      <c r="B15" s="12" t="str">
        <f>IF(A15="","",Planting_Log!B15)</f>
        <v>Site C - sheltered lagoon</v>
      </c>
      <c r="C15" s="12">
        <f>IF(A15="","",Planting_Log!G15)</f>
        <v>400</v>
      </c>
      <c r="D15" s="18">
        <f>IF(A15="","",Planting_Log!D15)</f>
        <v>46095</v>
      </c>
      <c r="E15" s="18">
        <f>IF(A15="","",IF(SUMPRODUCT((Monitoring!$B$5:$B$200=A15)*(Monitoring!$Z$5:$Z$200=0)*(Monitoring!$C$5:$C$200&lt;&gt;""))=0,"",SUMPRODUCT(MAX((Monitoring!$B$5:$B$200=A15)*(Monitoring!$Z$5:$Z$200=0)*Monitoring!$C$5:$C$200))))</f>
        <v>46277</v>
      </c>
      <c r="F15" s="12">
        <f t="shared" si="0"/>
        <v>6</v>
      </c>
      <c r="G15" s="12">
        <f>IF(E15="","",SUMIFS(Monitoring!$F$5:$F$200,Monitoring!$B$5:$B$200,A15,Monitoring!$C$5:$C$200,E15,Monitoring!$Z$5:$Z$200,0))</f>
        <v>355</v>
      </c>
      <c r="H15" s="12">
        <f>IF(E15="","",SUMIFS(Monitoring!$K$5:$K$200,Monitoring!$B$5:$B$200,A15,Monitoring!$C$5:$C$200,"&lt;"&amp;E15))</f>
        <v>0</v>
      </c>
      <c r="I15" s="19">
        <f t="shared" si="1"/>
        <v>0.88749999999999996</v>
      </c>
      <c r="J15" s="19">
        <f t="shared" si="2"/>
        <v>0.88749999999999996</v>
      </c>
      <c r="K15" s="12">
        <f>IF(E15="","",SUMIFS(Monitoring!$K$5:$K$200,Monitoring!$B$5:$B$200,A15,Monitoring!$C$5:$C$200,E15))</f>
        <v>0</v>
      </c>
      <c r="L15" s="12" t="str">
        <f t="shared" si="3"/>
        <v>On track</v>
      </c>
      <c r="M15" s="12">
        <f t="shared" si="4"/>
        <v>0</v>
      </c>
      <c r="N15" s="12">
        <f t="shared" si="5"/>
        <v>18</v>
      </c>
      <c r="O15" s="12">
        <f>IF(A15="","",COUNTIFS(Monitoring!$B$5:$B$200,A15,Monitoring!$Z$5:$Z$200,"&gt;0"))</f>
        <v>2</v>
      </c>
      <c r="P15" s="20" t="str">
        <f t="shared" si="6"/>
        <v>Routine census; fix 2 flagged rows</v>
      </c>
      <c r="Q15" s="12">
        <f t="shared" si="7"/>
        <v>45</v>
      </c>
      <c r="R15" s="12" t="str">
        <f>IF(E15="","",INDEX(Monitoring!$I$5:$I$200,SUMPRODUCT((Monitoring!$B$5:$B$200=A15)*(Monitoring!$C$5:$C$200=E15)*(Monitoring!$Z$5:$Z$200=0)*(ROW(Monitoring!$B$5:$B$200)-4)))&amp;"")</f>
        <v>Debris/plastic</v>
      </c>
      <c r="S15" s="19">
        <f t="shared" si="8"/>
        <v>0.7</v>
      </c>
    </row>
    <row r="16" spans="1:19" x14ac:dyDescent="0.35">
      <c r="A16" s="12" t="str">
        <f>IF(Planting_Log!A16="","",Planting_Log!A16)</f>
        <v>C04</v>
      </c>
      <c r="B16" s="12" t="str">
        <f>IF(A16="","",Planting_Log!B16)</f>
        <v>Site C - sheltered lagoon</v>
      </c>
      <c r="C16" s="12">
        <f>IF(A16="","",Planting_Log!G16)</f>
        <v>400</v>
      </c>
      <c r="D16" s="18">
        <f>IF(A16="","",Planting_Log!D16)</f>
        <v>46095</v>
      </c>
      <c r="E16" s="18">
        <f>IF(A16="","",IF(SUMPRODUCT((Monitoring!$B$5:$B$200=A16)*(Monitoring!$Z$5:$Z$200=0)*(Monitoring!$C$5:$C$200&lt;&gt;""))=0,"",SUMPRODUCT(MAX((Monitoring!$B$5:$B$200=A16)*(Monitoring!$Z$5:$Z$200=0)*Monitoring!$C$5:$C$200))))</f>
        <v>46186</v>
      </c>
      <c r="F16" s="12">
        <f t="shared" si="0"/>
        <v>3</v>
      </c>
      <c r="G16" s="12">
        <f>IF(E16="","",SUMIFS(Monitoring!$F$5:$F$200,Monitoring!$B$5:$B$200,A16,Monitoring!$C$5:$C$200,E16,Monitoring!$Z$5:$Z$200,0))</f>
        <v>375</v>
      </c>
      <c r="H16" s="12">
        <f>IF(E16="","",SUMIFS(Monitoring!$K$5:$K$200,Monitoring!$B$5:$B$200,A16,Monitoring!$C$5:$C$200,"&lt;"&amp;E16))</f>
        <v>0</v>
      </c>
      <c r="I16" s="19">
        <f t="shared" si="1"/>
        <v>0.9375</v>
      </c>
      <c r="J16" s="19">
        <f t="shared" si="2"/>
        <v>0.9375</v>
      </c>
      <c r="K16" s="12">
        <f>IF(E16="","",SUMIFS(Monitoring!$K$5:$K$200,Monitoring!$B$5:$B$200,A16,Monitoring!$C$5:$C$200,E16))</f>
        <v>0</v>
      </c>
      <c r="L16" s="12" t="str">
        <f t="shared" si="3"/>
        <v>On track</v>
      </c>
      <c r="M16" s="12">
        <f t="shared" si="4"/>
        <v>0</v>
      </c>
      <c r="N16" s="12">
        <f t="shared" si="5"/>
        <v>109</v>
      </c>
      <c r="O16" s="12">
        <f>IF(A16="","",COUNTIFS(Monitoring!$B$5:$B$200,A16,Monitoring!$Z$5:$Z$200,"&gt;0"))</f>
        <v>1</v>
      </c>
      <c r="P16" s="20" t="str">
        <f t="shared" si="6"/>
        <v>Census overdue; fix 1 flagged row</v>
      </c>
      <c r="Q16" s="12">
        <f t="shared" si="7"/>
        <v>25</v>
      </c>
      <c r="R16" s="12" t="str">
        <f>IF(E16="","",INDEX(Monitoring!$I$5:$I$200,SUMPRODUCT((Monitoring!$B$5:$B$200=A16)*(Monitoring!$C$5:$C$200=E16)*(Monitoring!$Z$5:$Z$200=0)*(ROW(Monitoring!$B$5:$B$200)-4)))&amp;"")</f>
        <v>Crab damage</v>
      </c>
      <c r="S16" s="19">
        <f t="shared" si="8"/>
        <v>0.7</v>
      </c>
    </row>
  </sheetData>
  <conditionalFormatting sqref="L5:L16">
    <cfRule type="expression" dxfId="7" priority="1">
      <formula>$L5="Replant"</formula>
    </cfRule>
    <cfRule type="expression" dxfId="6" priority="2">
      <formula>$L5="Watch"</formula>
    </cfRule>
    <cfRule type="expression" dxfId="5" priority="3">
      <formula>$L5="On track"</formula>
    </cfRule>
    <cfRule type="expression" dxfId="4" priority="4">
      <formula>$L5="Replanted, recheck"</formula>
    </cfRule>
    <cfRule type="expression" dxfId="3" priority="5">
      <formula>$L5="No clean census"</formula>
    </cfRule>
  </conditionalFormatting>
  <printOptions horizontalCentered="1"/>
  <pageMargins left="0.4" right="0.4" top="0.5" bottom="0.5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21"/>
  <sheetViews>
    <sheetView workbookViewId="0"/>
  </sheetViews>
  <sheetFormatPr defaultRowHeight="14.5" x14ac:dyDescent="0.35"/>
  <cols>
    <col min="1" max="1" width="26" customWidth="1"/>
    <col min="2" max="2" width="7" customWidth="1"/>
    <col min="3" max="4" width="11" customWidth="1"/>
    <col min="5" max="5" width="12" customWidth="1"/>
    <col min="6" max="6" width="11" customWidth="1"/>
    <col min="7" max="7" width="10" customWidth="1"/>
    <col min="8" max="9" width="11" customWidth="1"/>
    <col min="10" max="10" width="10" customWidth="1"/>
  </cols>
  <sheetData>
    <row r="1" spans="1:10" ht="19.5" x14ac:dyDescent="0.45">
      <c r="A1" s="1" t="s">
        <v>243</v>
      </c>
    </row>
    <row r="2" spans="1:10" x14ac:dyDescent="0.35">
      <c r="A2" s="2" t="s">
        <v>244</v>
      </c>
    </row>
    <row r="4" spans="1:10" ht="30" customHeight="1" x14ac:dyDescent="0.35">
      <c r="A4" s="10" t="s">
        <v>98</v>
      </c>
      <c r="B4" s="10" t="s">
        <v>245</v>
      </c>
      <c r="C4" s="10" t="s">
        <v>102</v>
      </c>
      <c r="D4" s="10" t="s">
        <v>40</v>
      </c>
      <c r="E4" s="10" t="s">
        <v>41</v>
      </c>
      <c r="F4" s="10" t="s">
        <v>172</v>
      </c>
      <c r="G4" s="10" t="s">
        <v>43</v>
      </c>
      <c r="H4" s="10" t="s">
        <v>44</v>
      </c>
      <c r="I4" s="10" t="s">
        <v>45</v>
      </c>
      <c r="J4" s="10" t="s">
        <v>246</v>
      </c>
    </row>
    <row r="5" spans="1:10" x14ac:dyDescent="0.35">
      <c r="A5" s="12" t="str">
        <f>Settings!E4</f>
        <v>Site A - seaward fringe</v>
      </c>
      <c r="B5" s="12">
        <f>COUNTIF(Planting_Log!$B$5:$B$60,A5)</f>
        <v>4</v>
      </c>
      <c r="C5" s="12">
        <f>SUMIFS(Planting_Log!$G$5:$G$60,Planting_Log!$B$5:$B$60,A5)</f>
        <v>1950</v>
      </c>
      <c r="D5" s="12">
        <f>SUMIFS(Monitoring!$K$5:$K$200,Monitoring!$M$5:$M$200,A5)</f>
        <v>272</v>
      </c>
      <c r="E5" s="12">
        <f>SUMIFS(Plot_Status!$G$5:$G$60,Plot_Status!$B$5:$B$60,A5)</f>
        <v>1323</v>
      </c>
      <c r="F5" s="19">
        <f>IF(C5=0,"",E5/C5)</f>
        <v>0.67846153846153845</v>
      </c>
      <c r="G5" s="12">
        <f>COUNTIFS(Plot_Status!$B$5:$B$60,A5,Plot_Status!$L$5:$L$60,"Replant")</f>
        <v>1</v>
      </c>
      <c r="H5" s="12">
        <f>SUMIFS(Plot_Status!$M$5:$M$60,Plot_Status!$B$5:$B$60,A5)</f>
        <v>60</v>
      </c>
      <c r="I5" s="12">
        <f>COUNTIFS(Plot_Status!$B$5:$B$60,A5,Plot_Status!$N$5:$N$60,"&gt;"&amp;OverdueDays)</f>
        <v>3</v>
      </c>
      <c r="J5" s="12">
        <f>COUNTIFS(Monitoring!$M$5:$M$200,A5,Monitoring!$Z$5:$Z$200,"&gt;0")</f>
        <v>1</v>
      </c>
    </row>
    <row r="6" spans="1:10" x14ac:dyDescent="0.35">
      <c r="A6" s="12" t="str">
        <f>Settings!E5</f>
        <v>Site B - pond dyke</v>
      </c>
      <c r="B6" s="12">
        <f>COUNTIF(Planting_Log!$B$5:$B$60,A6)</f>
        <v>4</v>
      </c>
      <c r="C6" s="12">
        <f>SUMIFS(Planting_Log!$G$5:$G$60,Planting_Log!$B$5:$B$60,A6)</f>
        <v>2350</v>
      </c>
      <c r="D6" s="12">
        <f>SUMIFS(Monitoring!$K$5:$K$200,Monitoring!$M$5:$M$200,A6)</f>
        <v>0</v>
      </c>
      <c r="E6" s="12">
        <f>SUMIFS(Plot_Status!$G$5:$G$60,Plot_Status!$B$5:$B$60,A6)</f>
        <v>1955</v>
      </c>
      <c r="F6" s="19">
        <f>IF(C6=0,"",E6/C6)</f>
        <v>0.83191489361702131</v>
      </c>
      <c r="G6" s="12">
        <f>COUNTIFS(Plot_Status!$B$5:$B$60,A6,Plot_Status!$L$5:$L$60,"Replant")</f>
        <v>1</v>
      </c>
      <c r="H6" s="12">
        <f>SUMIFS(Plot_Status!$M$5:$M$60,Plot_Status!$B$5:$B$60,A6)</f>
        <v>75</v>
      </c>
      <c r="I6" s="12">
        <f>COUNTIFS(Plot_Status!$B$5:$B$60,A6,Plot_Status!$N$5:$N$60,"&gt;"&amp;OverdueDays)</f>
        <v>1</v>
      </c>
      <c r="J6" s="12">
        <f>COUNTIFS(Monitoring!$M$5:$M$200,A6,Monitoring!$Z$5:$Z$200,"&gt;0")</f>
        <v>3</v>
      </c>
    </row>
    <row r="7" spans="1:10" x14ac:dyDescent="0.35">
      <c r="A7" s="12" t="str">
        <f>Settings!E6</f>
        <v>Site C - sheltered lagoon</v>
      </c>
      <c r="B7" s="12">
        <f>COUNTIF(Planting_Log!$B$5:$B$60,A7)</f>
        <v>4</v>
      </c>
      <c r="C7" s="12">
        <f>SUMIFS(Planting_Log!$G$5:$G$60,Planting_Log!$B$5:$B$60,A7)</f>
        <v>1600</v>
      </c>
      <c r="D7" s="12">
        <f>SUMIFS(Monitoring!$K$5:$K$200,Monitoring!$M$5:$M$200,A7)</f>
        <v>0</v>
      </c>
      <c r="E7" s="12">
        <f>SUMIFS(Plot_Status!$G$5:$G$60,Plot_Status!$B$5:$B$60,A7)</f>
        <v>1360</v>
      </c>
      <c r="F7" s="19">
        <f>IF(C7=0,"",E7/C7)</f>
        <v>0.85</v>
      </c>
      <c r="G7" s="12">
        <f>COUNTIFS(Plot_Status!$B$5:$B$60,A7,Plot_Status!$L$5:$L$60,"Replant")</f>
        <v>0</v>
      </c>
      <c r="H7" s="12">
        <f>SUMIFS(Plot_Status!$M$5:$M$60,Plot_Status!$B$5:$B$60,A7)</f>
        <v>0</v>
      </c>
      <c r="I7" s="12">
        <f>COUNTIFS(Plot_Status!$B$5:$B$60,A7,Plot_Status!$N$5:$N$60,"&gt;"&amp;OverdueDays)</f>
        <v>1</v>
      </c>
      <c r="J7" s="12">
        <f>COUNTIFS(Monitoring!$M$5:$M$200,A7,Monitoring!$Z$5:$Z$200,"&gt;0")</f>
        <v>4</v>
      </c>
    </row>
    <row r="8" spans="1:10" x14ac:dyDescent="0.35">
      <c r="A8" s="21" t="s">
        <v>247</v>
      </c>
      <c r="B8" s="21">
        <f>SUM(B5:B7)</f>
        <v>12</v>
      </c>
      <c r="C8" s="21">
        <f>SUM(C5:C7)</f>
        <v>5900</v>
      </c>
      <c r="D8" s="21">
        <f>SUM(D5:D7)</f>
        <v>272</v>
      </c>
      <c r="E8" s="21">
        <f>SUM(E5:E7)</f>
        <v>4638</v>
      </c>
      <c r="F8" s="22">
        <f>IF(C8=0,"",E8/C8)</f>
        <v>0.78610169491525428</v>
      </c>
      <c r="G8" s="21">
        <f>SUM(G5:G7)</f>
        <v>2</v>
      </c>
      <c r="H8" s="21">
        <f>SUM(H5:H7)</f>
        <v>135</v>
      </c>
      <c r="I8" s="21">
        <f>SUM(I5:I7)</f>
        <v>5</v>
      </c>
      <c r="J8" s="21">
        <f>SUM(J5:J7)</f>
        <v>8</v>
      </c>
    </row>
    <row r="9" spans="1:10" x14ac:dyDescent="0.35">
      <c r="A9" s="12" t="s">
        <v>248</v>
      </c>
      <c r="B9" s="12"/>
      <c r="C9" s="12"/>
      <c r="D9" s="12"/>
      <c r="E9" s="12"/>
      <c r="F9" s="12"/>
      <c r="G9" s="12"/>
      <c r="H9" s="12"/>
      <c r="I9" s="12"/>
      <c r="J9" s="12">
        <f>COUNTIFS(Monitoring!$B$5:$B$200,"&lt;&gt;",Monitoring!$M$5:$M$200,"")</f>
        <v>1</v>
      </c>
    </row>
    <row r="12" spans="1:10" x14ac:dyDescent="0.35">
      <c r="A12" s="23" t="s">
        <v>249</v>
      </c>
      <c r="F12" s="23" t="s">
        <v>250</v>
      </c>
    </row>
    <row r="13" spans="1:10" x14ac:dyDescent="0.35">
      <c r="A13" s="11" t="s">
        <v>98</v>
      </c>
      <c r="B13" s="11" t="s">
        <v>251</v>
      </c>
      <c r="C13" s="11" t="s">
        <v>252</v>
      </c>
      <c r="D13" s="11" t="s">
        <v>253</v>
      </c>
      <c r="F13" s="11" t="s">
        <v>254</v>
      </c>
      <c r="G13" s="11" t="s">
        <v>245</v>
      </c>
      <c r="H13" s="11" t="s">
        <v>241</v>
      </c>
    </row>
    <row r="14" spans="1:10" x14ac:dyDescent="0.35">
      <c r="A14" s="12" t="str">
        <f>Settings!E4</f>
        <v>Site A - seaward fringe</v>
      </c>
      <c r="B14" s="19">
        <f>IFERROR(AVERAGEIFS(Monitoring!$U$5:$U$200,Monitoring!$M$5:$M$200,$A14,Monitoring!$P$5:$P$200,1,Monitoring!$D$5:$D$200,"Census",Monitoring!$Z$5:$Z$200,0),"")</f>
        <v>0.91861111111111104</v>
      </c>
      <c r="C14" s="19">
        <f>IFERROR(AVERAGEIFS(Monitoring!$U$5:$U$200,Monitoring!$M$5:$M$200,$A14,Monitoring!$P$5:$P$200,3,Monitoring!$D$5:$D$200,"Census",Monitoring!$Z$5:$Z$200,0),"")</f>
        <v>0.74148148148148152</v>
      </c>
      <c r="D14" s="19">
        <f>IFERROR(AVERAGEIFS(Monitoring!$U$5:$U$200,Monitoring!$M$5:$M$200,$A14,Monitoring!$P$5:$P$200,6,Monitoring!$D$5:$D$200,"Census",Monitoring!$Z$5:$Z$200,0),"")</f>
        <v>0.61666666666666659</v>
      </c>
      <c r="F14" s="12" t="str">
        <f>Settings!G4</f>
        <v>Wave/scour</v>
      </c>
      <c r="G14" s="12">
        <f>COUNTIF(Plot_Status!$R$5:$R$60,F14)</f>
        <v>1</v>
      </c>
      <c r="H14" s="12">
        <f>SUMIFS(Plot_Status!$Q$5:$Q$60,Plot_Status!$R$5:$R$60,F14)</f>
        <v>214</v>
      </c>
    </row>
    <row r="15" spans="1:10" x14ac:dyDescent="0.35">
      <c r="A15" s="12" t="str">
        <f>Settings!E5</f>
        <v>Site B - pond dyke</v>
      </c>
      <c r="B15" s="19">
        <f>IFERROR(AVERAGEIFS(Monitoring!$U$5:$U$200,Monitoring!$M$5:$M$200,$A15,Monitoring!$P$5:$P$200,1,Monitoring!$D$5:$D$200,"Census",Monitoring!$Z$5:$Z$200,0),"")</f>
        <v>0.96237373737373744</v>
      </c>
      <c r="C15" s="19">
        <f>IFERROR(AVERAGEIFS(Monitoring!$U$5:$U$200,Monitoring!$M$5:$M$200,$A15,Monitoring!$P$5:$P$200,3,Monitoring!$D$5:$D$200,"Census",Monitoring!$Z$5:$Z$200,0),"")</f>
        <v>0.90416666666666667</v>
      </c>
      <c r="D15" s="19">
        <f>IFERROR(AVERAGEIFS(Monitoring!$U$5:$U$200,Monitoring!$M$5:$M$200,$A15,Monitoring!$P$5:$P$200,6,Monitoring!$D$5:$D$200,"Census",Monitoring!$Z$5:$Z$200,0),"")</f>
        <v>0.8017676767676768</v>
      </c>
      <c r="F15" s="12" t="str">
        <f>Settings!G5</f>
        <v>Barnacles</v>
      </c>
      <c r="G15" s="12">
        <f>COUNTIF(Plot_Status!$R$5:$R$60,F15)</f>
        <v>3</v>
      </c>
      <c r="H15" s="12">
        <f>SUMIFS(Plot_Status!$Q$5:$Q$60,Plot_Status!$R$5:$R$60,F15)</f>
        <v>570</v>
      </c>
    </row>
    <row r="16" spans="1:10" x14ac:dyDescent="0.35">
      <c r="A16" s="12" t="str">
        <f>Settings!E6</f>
        <v>Site C - sheltered lagoon</v>
      </c>
      <c r="B16" s="19">
        <f>IFERROR(AVERAGEIFS(Monitoring!$U$5:$U$200,Monitoring!$M$5:$M$200,$A16,Monitoring!$P$5:$P$200,1,Monitoring!$D$5:$D$200,"Census",Monitoring!$Z$5:$Z$200,0),"")</f>
        <v>0.96833333333333327</v>
      </c>
      <c r="C16" s="19">
        <f>IFERROR(AVERAGEIFS(Monitoring!$U$5:$U$200,Monitoring!$M$5:$M$200,$A16,Monitoring!$P$5:$P$200,3,Monitoring!$D$5:$D$200,"Census",Monitoring!$Z$5:$Z$200,0),"")</f>
        <v>0.89166666666666661</v>
      </c>
      <c r="D16" s="19">
        <f>IFERROR(AVERAGEIFS(Monitoring!$U$5:$U$200,Monitoring!$M$5:$M$200,$A16,Monitoring!$P$5:$P$200,6,Monitoring!$D$5:$D$200,"Census",Monitoring!$Z$5:$Z$200,0),"")</f>
        <v>0.8208333333333333</v>
      </c>
      <c r="F16" s="12" t="str">
        <f>Settings!G6</f>
        <v>Sediment burial</v>
      </c>
      <c r="G16" s="12">
        <f>COUNTIF(Plot_Status!$R$5:$R$60,F16)</f>
        <v>1</v>
      </c>
      <c r="H16" s="12">
        <f>SUMIFS(Plot_Status!$Q$5:$Q$60,Plot_Status!$R$5:$R$60,F16)</f>
        <v>185</v>
      </c>
    </row>
    <row r="17" spans="6:8" x14ac:dyDescent="0.35">
      <c r="F17" s="12" t="str">
        <f>Settings!G7</f>
        <v>Crab damage</v>
      </c>
      <c r="G17" s="12">
        <f>COUNTIF(Plot_Status!$R$5:$R$60,F17)</f>
        <v>4</v>
      </c>
      <c r="H17" s="12">
        <f>SUMIFS(Plot_Status!$Q$5:$Q$60,Plot_Status!$R$5:$R$60,F17)</f>
        <v>235</v>
      </c>
    </row>
    <row r="18" spans="6:8" x14ac:dyDescent="0.35">
      <c r="F18" s="12" t="str">
        <f>Settings!G8</f>
        <v>Grazing</v>
      </c>
      <c r="G18" s="12">
        <f>COUNTIF(Plot_Status!$R$5:$R$60,F18)</f>
        <v>1</v>
      </c>
      <c r="H18" s="12">
        <f>SUMIFS(Plot_Status!$Q$5:$Q$60,Plot_Status!$R$5:$R$60,F18)</f>
        <v>110</v>
      </c>
    </row>
    <row r="19" spans="6:8" x14ac:dyDescent="0.35">
      <c r="F19" s="12" t="str">
        <f>Settings!G9</f>
        <v>Debris/plastic</v>
      </c>
      <c r="G19" s="12">
        <f>COUNTIF(Plot_Status!$R$5:$R$60,F19)</f>
        <v>2</v>
      </c>
      <c r="H19" s="12">
        <f>SUMIFS(Plot_Status!$Q$5:$Q$60,Plot_Status!$R$5:$R$60,F19)</f>
        <v>105</v>
      </c>
    </row>
    <row r="20" spans="6:8" x14ac:dyDescent="0.35">
      <c r="F20" s="12" t="str">
        <f>Settings!G10</f>
        <v>Human disturbance</v>
      </c>
      <c r="G20" s="12">
        <f>COUNTIF(Plot_Status!$R$5:$R$60,F20)</f>
        <v>0</v>
      </c>
      <c r="H20" s="12">
        <f>SUMIFS(Plot_Status!$Q$5:$Q$60,Plot_Status!$R$5:$R$60,F20)</f>
        <v>0</v>
      </c>
    </row>
    <row r="21" spans="6:8" x14ac:dyDescent="0.35">
      <c r="F21" s="12" t="str">
        <f>Settings!G11</f>
        <v>Unknown</v>
      </c>
      <c r="G21" s="12">
        <f>COUNTIF(Plot_Status!$R$5:$R$60,F21)</f>
        <v>0</v>
      </c>
      <c r="H21" s="12">
        <f>SUMIFS(Plot_Status!$Q$5:$Q$60,Plot_Status!$R$5:$R$60,F21)</f>
        <v>0</v>
      </c>
    </row>
  </sheetData>
  <printOptions horizontalCentered="1"/>
  <pageMargins left="0.4" right="0.4" top="0.5" bottom="0.5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22"/>
  <sheetViews>
    <sheetView workbookViewId="0"/>
  </sheetViews>
  <sheetFormatPr defaultRowHeight="14.5" x14ac:dyDescent="0.35"/>
  <cols>
    <col min="1" max="1" width="5" customWidth="1"/>
    <col min="2" max="2" width="20" customWidth="1"/>
    <col min="3" max="3" width="40" customWidth="1"/>
    <col min="4" max="4" width="60" customWidth="1"/>
    <col min="5" max="5" width="20" customWidth="1"/>
    <col min="6" max="6" width="30" customWidth="1"/>
  </cols>
  <sheetData>
    <row r="1" spans="1:6" ht="19.5" x14ac:dyDescent="0.45">
      <c r="A1" s="1" t="s">
        <v>255</v>
      </c>
    </row>
    <row r="2" spans="1:6" x14ac:dyDescent="0.35">
      <c r="A2" s="2" t="s">
        <v>256</v>
      </c>
    </row>
    <row r="4" spans="1:6" ht="30" customHeight="1" x14ac:dyDescent="0.35">
      <c r="A4" s="10" t="s">
        <v>257</v>
      </c>
      <c r="B4" s="10" t="s">
        <v>258</v>
      </c>
      <c r="C4" s="10" t="s">
        <v>259</v>
      </c>
      <c r="D4" s="10" t="s">
        <v>260</v>
      </c>
      <c r="E4" s="10" t="s">
        <v>261</v>
      </c>
      <c r="F4" s="10" t="s">
        <v>262</v>
      </c>
    </row>
    <row r="5" spans="1:6" ht="26" x14ac:dyDescent="0.35">
      <c r="A5" s="24">
        <v>1</v>
      </c>
      <c r="B5" s="24" t="s">
        <v>263</v>
      </c>
      <c r="C5" s="24" t="s">
        <v>264</v>
      </c>
      <c r="D5" s="24" t="s">
        <v>265</v>
      </c>
      <c r="E5" s="24" t="s">
        <v>266</v>
      </c>
      <c r="F5" s="24" t="s">
        <v>267</v>
      </c>
    </row>
    <row r="6" spans="1:6" ht="26" x14ac:dyDescent="0.35">
      <c r="A6" s="24">
        <v>2</v>
      </c>
      <c r="B6" s="24" t="s">
        <v>263</v>
      </c>
      <c r="C6" s="24" t="s">
        <v>268</v>
      </c>
      <c r="D6" s="24" t="s">
        <v>269</v>
      </c>
      <c r="E6" s="24" t="s">
        <v>270</v>
      </c>
      <c r="F6" s="24" t="s">
        <v>271</v>
      </c>
    </row>
    <row r="7" spans="1:6" ht="26" x14ac:dyDescent="0.35">
      <c r="A7" s="24">
        <v>3</v>
      </c>
      <c r="B7" s="24" t="s">
        <v>263</v>
      </c>
      <c r="C7" s="24" t="s">
        <v>272</v>
      </c>
      <c r="D7" s="24" t="s">
        <v>273</v>
      </c>
      <c r="E7" s="24" t="s">
        <v>274</v>
      </c>
      <c r="F7" s="24" t="s">
        <v>275</v>
      </c>
    </row>
    <row r="8" spans="1:6" ht="26" x14ac:dyDescent="0.35">
      <c r="A8" s="24">
        <v>4</v>
      </c>
      <c r="B8" s="24" t="s">
        <v>263</v>
      </c>
      <c r="C8" s="24" t="s">
        <v>276</v>
      </c>
      <c r="D8" s="24" t="s">
        <v>277</v>
      </c>
      <c r="E8" s="24" t="s">
        <v>278</v>
      </c>
      <c r="F8" s="24" t="s">
        <v>279</v>
      </c>
    </row>
    <row r="9" spans="1:6" ht="26" x14ac:dyDescent="0.35">
      <c r="A9" s="24">
        <v>5</v>
      </c>
      <c r="B9" s="24" t="s">
        <v>263</v>
      </c>
      <c r="C9" s="24" t="s">
        <v>280</v>
      </c>
      <c r="D9" s="24" t="s">
        <v>281</v>
      </c>
      <c r="E9" s="24" t="s">
        <v>266</v>
      </c>
      <c r="F9" s="24" t="s">
        <v>282</v>
      </c>
    </row>
    <row r="10" spans="1:6" ht="26" x14ac:dyDescent="0.35">
      <c r="A10" s="24">
        <v>6</v>
      </c>
      <c r="B10" s="24" t="s">
        <v>263</v>
      </c>
      <c r="C10" s="24" t="s">
        <v>283</v>
      </c>
      <c r="D10" s="24" t="s">
        <v>284</v>
      </c>
      <c r="E10" s="24" t="s">
        <v>285</v>
      </c>
      <c r="F10" s="24" t="s">
        <v>286</v>
      </c>
    </row>
    <row r="11" spans="1:6" ht="26" x14ac:dyDescent="0.35">
      <c r="A11" s="24">
        <v>7</v>
      </c>
      <c r="B11" s="24" t="s">
        <v>263</v>
      </c>
      <c r="C11" s="24" t="s">
        <v>287</v>
      </c>
      <c r="D11" s="24" t="s">
        <v>288</v>
      </c>
      <c r="E11" s="24" t="s">
        <v>266</v>
      </c>
      <c r="F11" s="24" t="s">
        <v>289</v>
      </c>
    </row>
    <row r="12" spans="1:6" ht="26" x14ac:dyDescent="0.35">
      <c r="A12" s="24">
        <v>8</v>
      </c>
      <c r="B12" s="24" t="s">
        <v>290</v>
      </c>
      <c r="C12" s="24" t="s">
        <v>291</v>
      </c>
      <c r="D12" s="24" t="s">
        <v>292</v>
      </c>
      <c r="E12" s="24" t="s">
        <v>293</v>
      </c>
      <c r="F12" s="24" t="s">
        <v>294</v>
      </c>
    </row>
    <row r="13" spans="1:6" ht="26" x14ac:dyDescent="0.35">
      <c r="A13" s="24">
        <v>9</v>
      </c>
      <c r="B13" s="24" t="s">
        <v>290</v>
      </c>
      <c r="C13" s="24" t="s">
        <v>295</v>
      </c>
      <c r="D13" s="24" t="s">
        <v>296</v>
      </c>
      <c r="E13" s="24" t="s">
        <v>270</v>
      </c>
      <c r="F13" s="24" t="s">
        <v>297</v>
      </c>
    </row>
    <row r="14" spans="1:6" x14ac:dyDescent="0.35">
      <c r="A14" s="24">
        <v>10</v>
      </c>
      <c r="B14" s="24" t="s">
        <v>290</v>
      </c>
      <c r="C14" s="24" t="s">
        <v>298</v>
      </c>
      <c r="D14" s="24" t="s">
        <v>299</v>
      </c>
      <c r="E14" s="24" t="s">
        <v>266</v>
      </c>
      <c r="F14" s="24" t="s">
        <v>300</v>
      </c>
    </row>
    <row r="15" spans="1:6" ht="26" x14ac:dyDescent="0.35">
      <c r="A15" s="24">
        <v>11</v>
      </c>
      <c r="B15" s="24" t="s">
        <v>301</v>
      </c>
      <c r="C15" s="24" t="s">
        <v>302</v>
      </c>
      <c r="D15" s="24" t="s">
        <v>303</v>
      </c>
      <c r="E15" s="24" t="s">
        <v>270</v>
      </c>
      <c r="F15" s="24" t="s">
        <v>304</v>
      </c>
    </row>
    <row r="16" spans="1:6" x14ac:dyDescent="0.35">
      <c r="A16" s="24">
        <v>12</v>
      </c>
      <c r="B16" s="24" t="s">
        <v>301</v>
      </c>
      <c r="C16" s="24" t="s">
        <v>305</v>
      </c>
      <c r="D16" s="24" t="s">
        <v>306</v>
      </c>
      <c r="E16" s="24" t="s">
        <v>266</v>
      </c>
      <c r="F16" s="24" t="s">
        <v>307</v>
      </c>
    </row>
    <row r="17" spans="1:6" x14ac:dyDescent="0.35">
      <c r="A17" s="24">
        <v>13</v>
      </c>
      <c r="B17" s="24" t="s">
        <v>301</v>
      </c>
      <c r="C17" s="24" t="s">
        <v>308</v>
      </c>
      <c r="D17" s="24" t="s">
        <v>309</v>
      </c>
      <c r="E17" s="24" t="s">
        <v>266</v>
      </c>
      <c r="F17" s="24" t="s">
        <v>310</v>
      </c>
    </row>
    <row r="18" spans="1:6" x14ac:dyDescent="0.35">
      <c r="A18" s="24">
        <v>14</v>
      </c>
      <c r="B18" s="24" t="s">
        <v>301</v>
      </c>
      <c r="C18" s="24" t="s">
        <v>311</v>
      </c>
      <c r="D18" s="24" t="s">
        <v>312</v>
      </c>
      <c r="E18" s="24" t="s">
        <v>313</v>
      </c>
      <c r="F18" s="24" t="s">
        <v>314</v>
      </c>
    </row>
    <row r="19" spans="1:6" ht="26" x14ac:dyDescent="0.35">
      <c r="A19" s="24">
        <v>15</v>
      </c>
      <c r="B19" s="24" t="s">
        <v>315</v>
      </c>
      <c r="C19" s="24" t="s">
        <v>316</v>
      </c>
      <c r="D19" s="24" t="s">
        <v>317</v>
      </c>
      <c r="E19" s="24" t="s">
        <v>266</v>
      </c>
      <c r="F19" s="24" t="s">
        <v>318</v>
      </c>
    </row>
    <row r="20" spans="1:6" x14ac:dyDescent="0.35">
      <c r="A20" s="24">
        <v>16</v>
      </c>
      <c r="B20" s="24" t="s">
        <v>315</v>
      </c>
      <c r="C20" s="24" t="s">
        <v>319</v>
      </c>
      <c r="D20" s="24" t="s">
        <v>320</v>
      </c>
      <c r="E20" s="24" t="s">
        <v>266</v>
      </c>
      <c r="F20" s="24" t="s">
        <v>321</v>
      </c>
    </row>
    <row r="21" spans="1:6" x14ac:dyDescent="0.35">
      <c r="A21" s="24">
        <v>17</v>
      </c>
      <c r="B21" s="24" t="s">
        <v>76</v>
      </c>
      <c r="C21" s="24" t="s">
        <v>322</v>
      </c>
      <c r="D21" s="24" t="s">
        <v>323</v>
      </c>
      <c r="E21" s="24" t="s">
        <v>293</v>
      </c>
      <c r="F21" s="24" t="s">
        <v>324</v>
      </c>
    </row>
    <row r="22" spans="1:6" ht="26" x14ac:dyDescent="0.35">
      <c r="A22" s="24">
        <v>18</v>
      </c>
      <c r="B22" s="24" t="s">
        <v>76</v>
      </c>
      <c r="C22" s="24" t="s">
        <v>325</v>
      </c>
      <c r="D22" s="24" t="s">
        <v>326</v>
      </c>
      <c r="E22" s="24" t="s">
        <v>327</v>
      </c>
      <c r="F22" s="24" t="s">
        <v>328</v>
      </c>
    </row>
  </sheetData>
  <printOptions horizontalCentered="1"/>
  <pageMargins left="0.4" right="0.4" top="0.5" bottom="0.5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16"/>
  <sheetViews>
    <sheetView workbookViewId="0"/>
  </sheetViews>
  <sheetFormatPr defaultRowHeight="14.5" x14ac:dyDescent="0.35"/>
  <cols>
    <col min="1" max="1" width="6" customWidth="1"/>
    <col min="2" max="2" width="34" customWidth="1"/>
    <col min="3" max="3" width="26" customWidth="1"/>
    <col min="4" max="4" width="9" customWidth="1"/>
    <col min="5" max="5" width="8" customWidth="1"/>
    <col min="6" max="6" width="7" customWidth="1"/>
    <col min="7" max="7" width="9" customWidth="1"/>
    <col min="8" max="8" width="44" customWidth="1"/>
    <col min="9" max="9" width="34" customWidth="1"/>
    <col min="10" max="10" width="14" customWidth="1"/>
    <col min="11" max="11" width="30" customWidth="1"/>
  </cols>
  <sheetData>
    <row r="1" spans="1:11" ht="19.5" x14ac:dyDescent="0.45">
      <c r="A1" s="1" t="s">
        <v>329</v>
      </c>
    </row>
    <row r="2" spans="1:11" x14ac:dyDescent="0.35">
      <c r="A2" s="2" t="s">
        <v>330</v>
      </c>
    </row>
    <row r="4" spans="1:11" ht="30" customHeight="1" x14ac:dyDescent="0.35">
      <c r="A4" s="10" t="s">
        <v>331</v>
      </c>
      <c r="B4" s="10" t="s">
        <v>332</v>
      </c>
      <c r="C4" s="10" t="s">
        <v>333</v>
      </c>
      <c r="D4" s="10" t="s">
        <v>334</v>
      </c>
      <c r="E4" s="10" t="s">
        <v>335</v>
      </c>
      <c r="F4" s="10" t="s">
        <v>336</v>
      </c>
      <c r="G4" s="10" t="s">
        <v>337</v>
      </c>
      <c r="H4" s="10" t="s">
        <v>338</v>
      </c>
      <c r="I4" s="10" t="s">
        <v>339</v>
      </c>
      <c r="J4" s="10" t="s">
        <v>261</v>
      </c>
      <c r="K4" s="10" t="s">
        <v>340</v>
      </c>
    </row>
    <row r="5" spans="1:11" ht="26" x14ac:dyDescent="0.35">
      <c r="A5" s="24" t="s">
        <v>341</v>
      </c>
      <c r="B5" s="24" t="s">
        <v>342</v>
      </c>
      <c r="C5" s="24" t="s">
        <v>343</v>
      </c>
      <c r="D5" s="25">
        <v>2</v>
      </c>
      <c r="E5" s="25">
        <v>3</v>
      </c>
      <c r="F5" s="20">
        <f t="shared" ref="F5:F16" si="0">D5*E5</f>
        <v>6</v>
      </c>
      <c r="G5" s="20" t="str">
        <f t="shared" ref="G5:G16" si="1">IF(F5&gt;=6,"High",IF(F5&gt;=3,"Medium","Low"))</f>
        <v>High</v>
      </c>
      <c r="H5" s="24" t="s">
        <v>344</v>
      </c>
      <c r="I5" s="24" t="s">
        <v>345</v>
      </c>
      <c r="J5" s="24" t="s">
        <v>274</v>
      </c>
      <c r="K5" s="24" t="s">
        <v>346</v>
      </c>
    </row>
    <row r="6" spans="1:11" ht="26" x14ac:dyDescent="0.35">
      <c r="A6" s="24" t="s">
        <v>347</v>
      </c>
      <c r="B6" s="24" t="s">
        <v>348</v>
      </c>
      <c r="C6" s="24" t="s">
        <v>349</v>
      </c>
      <c r="D6" s="25">
        <v>2</v>
      </c>
      <c r="E6" s="25">
        <v>3</v>
      </c>
      <c r="F6" s="20">
        <f t="shared" si="0"/>
        <v>6</v>
      </c>
      <c r="G6" s="20" t="str">
        <f t="shared" si="1"/>
        <v>High</v>
      </c>
      <c r="H6" s="24" t="s">
        <v>350</v>
      </c>
      <c r="I6" s="24" t="s">
        <v>351</v>
      </c>
      <c r="J6" s="24" t="s">
        <v>270</v>
      </c>
      <c r="K6" s="24" t="s">
        <v>352</v>
      </c>
    </row>
    <row r="7" spans="1:11" ht="26" x14ac:dyDescent="0.35">
      <c r="A7" s="24" t="s">
        <v>353</v>
      </c>
      <c r="B7" s="24" t="s">
        <v>354</v>
      </c>
      <c r="C7" s="24" t="s">
        <v>355</v>
      </c>
      <c r="D7" s="25">
        <v>2</v>
      </c>
      <c r="E7" s="25">
        <v>3</v>
      </c>
      <c r="F7" s="20">
        <f t="shared" si="0"/>
        <v>6</v>
      </c>
      <c r="G7" s="20" t="str">
        <f t="shared" si="1"/>
        <v>High</v>
      </c>
      <c r="H7" s="24" t="s">
        <v>356</v>
      </c>
      <c r="I7" s="24" t="s">
        <v>357</v>
      </c>
      <c r="J7" s="24" t="s">
        <v>274</v>
      </c>
      <c r="K7" s="24" t="s">
        <v>358</v>
      </c>
    </row>
    <row r="8" spans="1:11" ht="26" x14ac:dyDescent="0.35">
      <c r="A8" s="24" t="s">
        <v>359</v>
      </c>
      <c r="B8" s="24" t="s">
        <v>360</v>
      </c>
      <c r="C8" s="24" t="s">
        <v>361</v>
      </c>
      <c r="D8" s="25">
        <v>2</v>
      </c>
      <c r="E8" s="25">
        <v>2</v>
      </c>
      <c r="F8" s="20">
        <f t="shared" si="0"/>
        <v>4</v>
      </c>
      <c r="G8" s="20" t="str">
        <f t="shared" si="1"/>
        <v>Medium</v>
      </c>
      <c r="H8" s="24" t="s">
        <v>362</v>
      </c>
      <c r="I8" s="24" t="s">
        <v>363</v>
      </c>
      <c r="J8" s="24" t="s">
        <v>364</v>
      </c>
      <c r="K8" s="24" t="s">
        <v>365</v>
      </c>
    </row>
    <row r="9" spans="1:11" ht="26" x14ac:dyDescent="0.35">
      <c r="A9" s="24" t="s">
        <v>366</v>
      </c>
      <c r="B9" s="24" t="s">
        <v>367</v>
      </c>
      <c r="C9" s="24" t="s">
        <v>368</v>
      </c>
      <c r="D9" s="25">
        <v>2</v>
      </c>
      <c r="E9" s="25">
        <v>2</v>
      </c>
      <c r="F9" s="20">
        <f t="shared" si="0"/>
        <v>4</v>
      </c>
      <c r="G9" s="20" t="str">
        <f t="shared" si="1"/>
        <v>Medium</v>
      </c>
      <c r="H9" s="24" t="s">
        <v>369</v>
      </c>
      <c r="I9" s="24" t="s">
        <v>370</v>
      </c>
      <c r="J9" s="24" t="s">
        <v>274</v>
      </c>
      <c r="K9" s="24" t="s">
        <v>371</v>
      </c>
    </row>
    <row r="10" spans="1:11" ht="26" x14ac:dyDescent="0.35">
      <c r="A10" s="24" t="s">
        <v>372</v>
      </c>
      <c r="B10" s="24" t="s">
        <v>373</v>
      </c>
      <c r="C10" s="24" t="s">
        <v>374</v>
      </c>
      <c r="D10" s="25">
        <v>2</v>
      </c>
      <c r="E10" s="25">
        <v>3</v>
      </c>
      <c r="F10" s="20">
        <f t="shared" si="0"/>
        <v>6</v>
      </c>
      <c r="G10" s="20" t="str">
        <f t="shared" si="1"/>
        <v>High</v>
      </c>
      <c r="H10" s="24" t="s">
        <v>375</v>
      </c>
      <c r="I10" s="24" t="s">
        <v>376</v>
      </c>
      <c r="J10" s="24" t="s">
        <v>266</v>
      </c>
      <c r="K10" s="24" t="s">
        <v>377</v>
      </c>
    </row>
    <row r="11" spans="1:11" ht="26" x14ac:dyDescent="0.35">
      <c r="A11" s="24" t="s">
        <v>378</v>
      </c>
      <c r="B11" s="24" t="s">
        <v>379</v>
      </c>
      <c r="C11" s="24" t="s">
        <v>380</v>
      </c>
      <c r="D11" s="25">
        <v>2</v>
      </c>
      <c r="E11" s="25">
        <v>2</v>
      </c>
      <c r="F11" s="20">
        <f t="shared" si="0"/>
        <v>4</v>
      </c>
      <c r="G11" s="20" t="str">
        <f t="shared" si="1"/>
        <v>Medium</v>
      </c>
      <c r="H11" s="24" t="s">
        <v>381</v>
      </c>
      <c r="I11" s="24" t="s">
        <v>382</v>
      </c>
      <c r="J11" s="24" t="s">
        <v>266</v>
      </c>
      <c r="K11" s="24" t="s">
        <v>383</v>
      </c>
    </row>
    <row r="12" spans="1:11" ht="26" x14ac:dyDescent="0.35">
      <c r="A12" s="24" t="s">
        <v>384</v>
      </c>
      <c r="B12" s="24" t="s">
        <v>385</v>
      </c>
      <c r="C12" s="24" t="s">
        <v>386</v>
      </c>
      <c r="D12" s="25">
        <v>2</v>
      </c>
      <c r="E12" s="25">
        <v>3</v>
      </c>
      <c r="F12" s="20">
        <f t="shared" si="0"/>
        <v>6</v>
      </c>
      <c r="G12" s="20" t="str">
        <f t="shared" si="1"/>
        <v>High</v>
      </c>
      <c r="H12" s="24" t="s">
        <v>387</v>
      </c>
      <c r="I12" s="24" t="s">
        <v>388</v>
      </c>
      <c r="J12" s="24" t="s">
        <v>285</v>
      </c>
      <c r="K12" s="24" t="s">
        <v>389</v>
      </c>
    </row>
    <row r="13" spans="1:11" ht="26" x14ac:dyDescent="0.35">
      <c r="A13" s="24" t="s">
        <v>390</v>
      </c>
      <c r="B13" s="24" t="s">
        <v>391</v>
      </c>
      <c r="C13" s="24" t="s">
        <v>392</v>
      </c>
      <c r="D13" s="25">
        <v>1</v>
      </c>
      <c r="E13" s="25">
        <v>2</v>
      </c>
      <c r="F13" s="20">
        <f t="shared" si="0"/>
        <v>2</v>
      </c>
      <c r="G13" s="20" t="str">
        <f t="shared" si="1"/>
        <v>Low</v>
      </c>
      <c r="H13" s="24" t="s">
        <v>393</v>
      </c>
      <c r="I13" s="24" t="s">
        <v>394</v>
      </c>
      <c r="J13" s="24" t="s">
        <v>364</v>
      </c>
      <c r="K13" s="24" t="s">
        <v>395</v>
      </c>
    </row>
    <row r="14" spans="1:11" x14ac:dyDescent="0.35">
      <c r="A14" s="24" t="s">
        <v>396</v>
      </c>
      <c r="B14" s="24" t="s">
        <v>397</v>
      </c>
      <c r="C14" s="24" t="s">
        <v>398</v>
      </c>
      <c r="D14" s="25">
        <v>1</v>
      </c>
      <c r="E14" s="25">
        <v>3</v>
      </c>
      <c r="F14" s="20">
        <f t="shared" si="0"/>
        <v>3</v>
      </c>
      <c r="G14" s="20" t="str">
        <f t="shared" si="1"/>
        <v>Medium</v>
      </c>
      <c r="H14" s="24" t="s">
        <v>399</v>
      </c>
      <c r="I14" s="24" t="s">
        <v>400</v>
      </c>
      <c r="J14" s="24" t="s">
        <v>270</v>
      </c>
      <c r="K14" s="24" t="s">
        <v>401</v>
      </c>
    </row>
    <row r="15" spans="1:11" ht="26" x14ac:dyDescent="0.35">
      <c r="A15" s="24" t="s">
        <v>402</v>
      </c>
      <c r="B15" s="24" t="s">
        <v>403</v>
      </c>
      <c r="C15" s="24" t="s">
        <v>404</v>
      </c>
      <c r="D15" s="25">
        <v>2</v>
      </c>
      <c r="E15" s="25">
        <v>2</v>
      </c>
      <c r="F15" s="20">
        <f t="shared" si="0"/>
        <v>4</v>
      </c>
      <c r="G15" s="20" t="str">
        <f t="shared" si="1"/>
        <v>Medium</v>
      </c>
      <c r="H15" s="24" t="s">
        <v>405</v>
      </c>
      <c r="I15" s="24" t="s">
        <v>406</v>
      </c>
      <c r="J15" s="24" t="s">
        <v>270</v>
      </c>
      <c r="K15" s="24" t="s">
        <v>407</v>
      </c>
    </row>
    <row r="16" spans="1:11" x14ac:dyDescent="0.35">
      <c r="A16" s="24" t="s">
        <v>408</v>
      </c>
      <c r="B16" s="24" t="s">
        <v>409</v>
      </c>
      <c r="C16" s="24" t="s">
        <v>410</v>
      </c>
      <c r="D16" s="25">
        <v>2</v>
      </c>
      <c r="E16" s="25">
        <v>1</v>
      </c>
      <c r="F16" s="20">
        <f t="shared" si="0"/>
        <v>2</v>
      </c>
      <c r="G16" s="20" t="str">
        <f t="shared" si="1"/>
        <v>Low</v>
      </c>
      <c r="H16" s="24" t="s">
        <v>411</v>
      </c>
      <c r="I16" s="24" t="s">
        <v>312</v>
      </c>
      <c r="J16" s="24" t="s">
        <v>313</v>
      </c>
      <c r="K16" s="24" t="s">
        <v>412</v>
      </c>
    </row>
  </sheetData>
  <conditionalFormatting sqref="G5:G16">
    <cfRule type="expression" dxfId="2" priority="1">
      <formula>$G5="High"</formula>
    </cfRule>
    <cfRule type="expression" dxfId="1" priority="2">
      <formula>$G5="Medium"</formula>
    </cfRule>
    <cfRule type="expression" dxfId="0" priority="3">
      <formula>$G5="Low"</formula>
    </cfRule>
  </conditionalFormatting>
  <printOptions horizontalCentered="1"/>
  <pageMargins left="0.4" right="0.4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Read_Me</vt:lpstr>
      <vt:lpstr>Dashboard</vt:lpstr>
      <vt:lpstr>Settings</vt:lpstr>
      <vt:lpstr>Planting_Log</vt:lpstr>
      <vt:lpstr>Monitoring</vt:lpstr>
      <vt:lpstr>Plot_Status</vt:lpstr>
      <vt:lpstr>Site_Summary</vt:lpstr>
      <vt:lpstr>Field_Day_SOP</vt:lpstr>
      <vt:lpstr>Risk_Register</vt:lpstr>
      <vt:lpstr>HMax</vt:lpstr>
      <vt:lpstr>HMin</vt:lpstr>
      <vt:lpstr>OverdueDays</vt:lpstr>
      <vt:lpstr>ReportDate</vt:lpstr>
      <vt:lpstr>Target</vt:lpstr>
      <vt:lpstr>Trigger</vt:lpstr>
      <vt:lpstr>TriggerMonth</vt:lpstr>
      <vt:lpstr>WatchBand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Lesaullian Achmad Argito</cp:lastModifiedBy>
  <dcterms:created xsi:type="dcterms:W3CDTF">2026-10-09T04:21:58Z</dcterms:created>
  <dcterms:modified xsi:type="dcterms:W3CDTF">2026-10-09T04:22:01Z</dcterms:modified>
</cp:coreProperties>
</file>